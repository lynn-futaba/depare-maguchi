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mc:AlternateContent xmlns:mc="http://schemas.openxmlformats.org/markup-compatibility/2006">
    <mc:Choice Requires="x15">
      <x15ac:absPath xmlns:x15ac="http://schemas.microsoft.com/office/spreadsheetml/2010/11/ac" url="C:\Users\90181586\Downloads\知立工場開発\depare_maguchi\testing\"/>
    </mc:Choice>
  </mc:AlternateContent>
  <xr:revisionPtr revIDLastSave="0" documentId="13_ncr:1_{10988E09-176A-4C6C-ACAC-0141E1C3F65C}" xr6:coauthVersionLast="47" xr6:coauthVersionMax="47" xr10:uidLastSave="{00000000-0000-0000-0000-000000000000}"/>
  <bookViews>
    <workbookView xWindow="-96" yWindow="0" windowWidth="21636" windowHeight="12240" xr2:uid="{00000000-000D-0000-FFFF-FFFF00000000}"/>
  </bookViews>
  <sheets>
    <sheet name="残課題修正" sheetId="1" r:id="rId1"/>
    <sheet name="進捗" sheetId="4" r:id="rId2"/>
    <sheet name="基本設計書" sheetId="5" r:id="rId3"/>
    <sheet name="デパレ運用トライ" sheetId="2" r:id="rId4"/>
    <sheet name="API" sheetId="3"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4" i="2" l="1"/>
</calcChain>
</file>

<file path=xl/sharedStrings.xml><?xml version="1.0" encoding="utf-8"?>
<sst xmlns="http://schemas.openxmlformats.org/spreadsheetml/2006/main" count="531" uniqueCount="284">
  <si>
    <t>line_inventory テーブル</t>
  </si>
  <si>
    <t>supply テーブル</t>
  </si>
  <si>
    <t>また、以下の資料はWCS側の仕様書ですので確認ください。（各種ラックの呼び出し、搬送等のやり方）
先週、少し説明したeip_signalのinputの仕様です。
存在を知らなかったため、自分のソースコードに織り込めていない仕様がある可能性があります。</t>
  </si>
  <si>
    <t>20250930_フタバ産業様向け_知立工場3号棟WCS開発_構造設計書_Ver.0.0.2</t>
  </si>
  <si>
    <t>ノート</t>
    <phoneticPr fontId="1"/>
  </si>
  <si>
    <t>確認方法</t>
    <phoneticPr fontId="1"/>
  </si>
  <si>
    <t>どうして</t>
    <phoneticPr fontId="1"/>
  </si>
  <si>
    <t>INNODB代わりにBLACKHOLE</t>
    <rPh sb="6" eb="7">
      <t>カ</t>
    </rPh>
    <phoneticPr fontId="1"/>
  </si>
  <si>
    <t>CONSTRAINTSを削除してTriggerを使う</t>
    <rPh sb="12" eb="14">
      <t>サクジョ</t>
    </rPh>
    <rPh sb="24" eb="25">
      <t>ツカ</t>
    </rPh>
    <phoneticPr fontId="1"/>
  </si>
  <si>
    <t xml:space="preserve">Tried with Many MYSQL version  </t>
    <phoneticPr fontId="1"/>
  </si>
  <si>
    <t>Create BEFORE INSERT and BEFORE UPDATE triggers to validate relationships manually.
Example:
SQLCREATE TRIGGER check_line_idBEFORE INSERT ON line_frontageFOR EACH ROWBEGIN    IF (SELECT COUNT(*) FROM line WHERE line_id = NEW.line_id) = 0 THEN        SIGNAL SQLSTATE '45000' SET MESSAGE_TEXT = 'Invalid line_id';    END IF;END;その他の行を表示する
This enforces referential integrity without foreign keys.</t>
    <phoneticPr fontId="1"/>
  </si>
  <si>
    <t>Error depalletizing: Error getting part by id: &amp;#39;NoneType&amp;#39; object has no attribute &amp;#39;part&amp;#39;</t>
    <phoneticPr fontId="1"/>
  </si>
  <si>
    <t>Error depalletizing: &amp;#39;list&amp;#39; object has no attribute &amp;#39;to_dict&amp;#39;</t>
    <phoneticPr fontId="1"/>
  </si>
  <si>
    <r>
      <t>○</t>
    </r>
    <r>
      <rPr>
        <sz val="11"/>
        <color theme="1"/>
        <rFont val="ＭＳ Ｐゴシック"/>
        <family val="2"/>
        <charset val="128"/>
      </rPr>
      <t>完了</t>
    </r>
    <phoneticPr fontId="1"/>
  </si>
  <si>
    <t>http://localhost:5000/to_flow_rack　400 エラー</t>
    <phoneticPr fontId="1"/>
  </si>
  <si>
    <t xml:space="preserve">http://localhost:5000/to_kotatsu　400 エラー </t>
    <phoneticPr fontId="1"/>
  </si>
  <si>
    <t>着手</t>
    <phoneticPr fontId="1"/>
  </si>
  <si>
    <t>河島さん</t>
    <phoneticPr fontId="1"/>
  </si>
  <si>
    <r>
      <t>✖</t>
    </r>
    <r>
      <rPr>
        <sz val="11"/>
        <color theme="1"/>
        <rFont val="游ゴシック"/>
        <family val="2"/>
        <charset val="128"/>
      </rPr>
      <t>中止</t>
    </r>
    <phoneticPr fontId="1"/>
  </si>
  <si>
    <r>
      <t>○</t>
    </r>
    <r>
      <rPr>
        <sz val="11"/>
        <color theme="1"/>
        <rFont val="游ゴシック"/>
        <family val="2"/>
        <charset val="128"/>
      </rPr>
      <t>中止</t>
    </r>
    <phoneticPr fontId="1"/>
  </si>
  <si>
    <t>デパレ間口 設備信号　Bライン側 R3</t>
    <phoneticPr fontId="1"/>
  </si>
  <si>
    <t>デパレ間口 設備信号　Bライン側 L1</t>
    <phoneticPr fontId="1"/>
  </si>
  <si>
    <t>デパレ間口 設備信号　Bライン側 L2</t>
    <phoneticPr fontId="1"/>
  </si>
  <si>
    <t>デパレ間口 設備信号　Bライン側 L3</t>
    <phoneticPr fontId="1"/>
  </si>
  <si>
    <t>WSL , Docker インストール</t>
    <phoneticPr fontId="1"/>
  </si>
  <si>
    <t>HPノートパソコンで問題ある</t>
    <rPh sb="10" eb="12">
      <t>モンダイ</t>
    </rPh>
    <phoneticPr fontId="1"/>
  </si>
  <si>
    <t>　　　　　　　　　　　　　　　　　　しかし外部キーを作成できません、BLACKHOLEが外部キーをスキップして資料も保存できません</t>
    <rPh sb="26" eb="28">
      <t>サクセイ</t>
    </rPh>
    <rPh sb="55" eb="57">
      <t>シリョウ</t>
    </rPh>
    <rPh sb="58" eb="60">
      <t>ホゾン</t>
    </rPh>
    <phoneticPr fontId="1"/>
  </si>
  <si>
    <t>DROP TABLE IF EXISTS `line_frontage`;
CREATE TABLE `line_frontage` (
  `frontage_id` INT NOT NULL,
  `line_id` INT NOT NULL,
  `name` VARCHAR(45) NOT NULL,
  `cell_code` VARCHAR(8) NOT NULL,
  `car_model_id` INT NOT NULL,
  PRIMARY KEY (`frontage_id`),
  KEY `line_idx` (`line_id`)
) ENGINE=InnoDB DEFAULT CHARSET=utf8mb4 COLLATE=utf8mb4_unicode_ci;</t>
    <phoneticPr fontId="1"/>
  </si>
  <si>
    <t>Application-Level Checks
Implement foreign key validation in your application logic before inserting/updating.
line_frontage, .</t>
    <phoneticPr fontId="1"/>
  </si>
  <si>
    <r>
      <t>DROP TABLE IF EXISTS `line_f</t>
    </r>
    <r>
      <rPr>
        <sz val="11"/>
        <color theme="1"/>
        <rFont val="游ゴシック"/>
        <family val="3"/>
        <charset val="128"/>
        <scheme val="minor"/>
      </rPr>
      <t>r</t>
    </r>
    <r>
      <rPr>
        <sz val="11"/>
        <color theme="1"/>
        <rFont val="游ゴシック"/>
        <family val="2"/>
        <scheme val="minor"/>
      </rPr>
      <t>ontage`;
/*!40101 SET @saved_cs_client     = @@character_set_client */;
/*!50503 SET character_set_client = utf8mb4 */;
CREATE TABLE `line_frontage` (
  `frontage_id` int NOT NULL,
  `line_id` int NOT NULL,
  `name` varchar(45) NOT NULL,
  `cell_code` varchar(8) NOT NULL,
  `car_model_id` int NOT NULL,
  PRIMARY KEY (`frontage_id`),
  KEY `line_idx` (`line_id`),
  KEY `line_99_idx` (`line_id`),
  CONSTRAINT `line_99` FOREIGN KEY (`line_id`) REFERENCES `line` (`line_id`)
) ENGINE=BLACKHOLE DEFAULT CHARSET=utf8mb4 COLLATE=utf8mb4_general_ci;
/*!40101 SET character_set_client = @saved_cs_client */;</t>
    </r>
    <phoneticPr fontId="1"/>
  </si>
  <si>
    <r>
      <t>Error Code: 1142. REFERENCES command denied to user 'athena'@'10.104.16.87' for table 'line'　</t>
    </r>
    <r>
      <rPr>
        <sz val="11"/>
        <color theme="1"/>
        <rFont val="Segoe UI Symbol"/>
        <family val="2"/>
      </rPr>
      <t>➞</t>
    </r>
    <r>
      <rPr>
        <sz val="11"/>
        <color theme="1"/>
        <rFont val="游ゴシック"/>
        <family val="2"/>
        <scheme val="minor"/>
      </rPr>
      <t>　AthenaのユーザーはrootまたはDBA権限以外の選択肢がないため、制約はアプリケーション層で管理する方が良いです。Athena no yuuzaa wa root mata wa DBA kengen igai no sentakushi ga nai tame, shiyaku wa apurikeeshon sou de kanri suru hou ga yoi desu.</t>
    </r>
    <phoneticPr fontId="1"/>
  </si>
  <si>
    <t>テスト</t>
    <phoneticPr fontId="1"/>
  </si>
  <si>
    <t>values</t>
    <phoneticPr fontId="1"/>
  </si>
  <si>
    <t>signal_id</t>
    <phoneticPr fontId="1"/>
  </si>
  <si>
    <t>○</t>
    <phoneticPr fontId="1"/>
  </si>
  <si>
    <t>オ069</t>
    <phoneticPr fontId="1"/>
  </si>
  <si>
    <t>タ０３３</t>
    <phoneticPr fontId="1"/>
  </si>
  <si>
    <t>ア６１９</t>
    <phoneticPr fontId="1"/>
  </si>
  <si>
    <t>kanban_no</t>
    <phoneticPr fontId="1"/>
  </si>
  <si>
    <t>flow_rack 4444</t>
    <phoneticPr fontId="1"/>
  </si>
  <si>
    <t>間口5</t>
    <rPh sb="0" eb="2">
      <t>マグチ</t>
    </rPh>
    <phoneticPr fontId="1"/>
  </si>
  <si>
    <t>間口4</t>
    <phoneticPr fontId="1"/>
  </si>
  <si>
    <t>間口3</t>
    <phoneticPr fontId="1"/>
  </si>
  <si>
    <t>間口2</t>
    <phoneticPr fontId="1"/>
  </si>
  <si>
    <t>間口1</t>
    <phoneticPr fontId="1"/>
  </si>
  <si>
    <t>T632</t>
    <phoneticPr fontId="1"/>
  </si>
  <si>
    <t>T436</t>
    <phoneticPr fontId="1"/>
  </si>
  <si>
    <t>T622</t>
    <phoneticPr fontId="1"/>
  </si>
  <si>
    <t>flow_rack 5555</t>
    <phoneticPr fontId="1"/>
  </si>
  <si>
    <t xml:space="preserve">flow_rack </t>
    <phoneticPr fontId="1"/>
  </si>
  <si>
    <t>オ</t>
    <phoneticPr fontId="1"/>
  </si>
  <si>
    <t>T</t>
    <phoneticPr fontId="1"/>
  </si>
  <si>
    <t>承認</t>
    <rPh sb="0" eb="2">
      <t>ショウニン</t>
    </rPh>
    <phoneticPr fontId="1"/>
  </si>
  <si>
    <t>承認</t>
    <phoneticPr fontId="1"/>
  </si>
  <si>
    <t>取出数量</t>
    <phoneticPr fontId="1"/>
  </si>
  <si>
    <t>かんばん番号</t>
    <rPh sb="4" eb="6">
      <t>バンゴウ</t>
    </rPh>
    <phoneticPr fontId="1"/>
  </si>
  <si>
    <t>T703</t>
    <phoneticPr fontId="1"/>
  </si>
  <si>
    <t>T621</t>
    <phoneticPr fontId="1"/>
  </si>
  <si>
    <t>T631</t>
    <phoneticPr fontId="1"/>
  </si>
  <si>
    <t>T435</t>
    <phoneticPr fontId="1"/>
  </si>
  <si>
    <t>T704</t>
    <phoneticPr fontId="1"/>
  </si>
  <si>
    <t>サ６０７</t>
    <phoneticPr fontId="1"/>
  </si>
  <si>
    <t xml:space="preserve">flow_rack6666 </t>
    <phoneticPr fontId="1"/>
  </si>
  <si>
    <t>オ070</t>
    <phoneticPr fontId="1"/>
  </si>
  <si>
    <t>タ032</t>
    <phoneticPr fontId="1"/>
  </si>
  <si>
    <t>オ068</t>
    <phoneticPr fontId="1"/>
  </si>
  <si>
    <t>ア618</t>
    <phoneticPr fontId="1"/>
  </si>
  <si>
    <t>オ071</t>
    <phoneticPr fontId="1"/>
  </si>
  <si>
    <t>タ033</t>
    <phoneticPr fontId="1"/>
  </si>
  <si>
    <t>ア619</t>
    <phoneticPr fontId="1"/>
  </si>
  <si>
    <t>サ607</t>
    <phoneticPr fontId="1"/>
  </si>
  <si>
    <t>走る後、values1</t>
    <phoneticPr fontId="1"/>
  </si>
  <si>
    <t>呼んだら　走る前　values０</t>
    <rPh sb="0" eb="1">
      <t>ヨ</t>
    </rPh>
    <rPh sb="7" eb="8">
      <t>マエ</t>
    </rPh>
    <phoneticPr fontId="1"/>
  </si>
  <si>
    <t>間口</t>
    <rPh sb="0" eb="2">
      <t>マグチ</t>
    </rPh>
    <phoneticPr fontId="1"/>
  </si>
  <si>
    <t>L1</t>
    <phoneticPr fontId="1"/>
  </si>
  <si>
    <t>L2</t>
    <phoneticPr fontId="1"/>
  </si>
  <si>
    <t>L3</t>
    <phoneticPr fontId="1"/>
  </si>
  <si>
    <t>R1</t>
    <phoneticPr fontId="1"/>
  </si>
  <si>
    <t>R2</t>
    <phoneticPr fontId="1"/>
  </si>
  <si>
    <t>R3</t>
    <phoneticPr fontId="1"/>
  </si>
  <si>
    <t>379サブ①</t>
    <phoneticPr fontId="1"/>
  </si>
  <si>
    <t>379サブ②</t>
    <phoneticPr fontId="1"/>
  </si>
  <si>
    <t>379サブ③</t>
    <phoneticPr fontId="1"/>
  </si>
  <si>
    <t>378サブ②</t>
    <phoneticPr fontId="1"/>
  </si>
  <si>
    <t>378サブ①</t>
    <phoneticPr fontId="1"/>
  </si>
  <si>
    <t>378サブ③</t>
    <phoneticPr fontId="1"/>
  </si>
  <si>
    <t>フローラックの行き先</t>
    <rPh sb="7" eb="8">
      <t>イ</t>
    </rPh>
    <rPh sb="9" eb="10">
      <t>サキ</t>
    </rPh>
    <phoneticPr fontId="1"/>
  </si>
  <si>
    <t>終わる, values</t>
    <rPh sb="0" eb="1">
      <t>オ</t>
    </rPh>
    <phoneticPr fontId="1"/>
  </si>
  <si>
    <t>作業完了</t>
    <phoneticPr fontId="1"/>
  </si>
  <si>
    <r>
      <t>ステータス（</t>
    </r>
    <r>
      <rPr>
        <b/>
        <sz val="14"/>
        <color theme="0"/>
        <rFont val="游ゴシック"/>
        <family val="3"/>
        <charset val="128"/>
        <scheme val="minor"/>
      </rPr>
      <t>○</t>
    </r>
    <r>
      <rPr>
        <b/>
        <sz val="14"/>
        <color theme="0"/>
        <rFont val="游ゴシック"/>
        <family val="2"/>
        <scheme val="minor"/>
      </rPr>
      <t>/</t>
    </r>
    <r>
      <rPr>
        <sz val="14"/>
        <color theme="0"/>
        <rFont val="Segoe UI Symbol"/>
        <family val="2"/>
      </rPr>
      <t>✖</t>
    </r>
    <r>
      <rPr>
        <b/>
        <sz val="14"/>
        <color theme="0"/>
        <rFont val="游ゴシック"/>
        <family val="2"/>
        <charset val="128"/>
      </rPr>
      <t>）</t>
    </r>
    <phoneticPr fontId="1"/>
  </si>
  <si>
    <t>呼ぶ、物くる</t>
    <phoneticPr fontId="1"/>
  </si>
  <si>
    <t>values０</t>
    <phoneticPr fontId="1"/>
  </si>
  <si>
    <t>values1</t>
    <phoneticPr fontId="1"/>
  </si>
  <si>
    <t xml:space="preserve"> values</t>
    <phoneticPr fontId="1"/>
  </si>
  <si>
    <t>走る１</t>
    <rPh sb="0" eb="1">
      <t>ハシ</t>
    </rPh>
    <phoneticPr fontId="1"/>
  </si>
  <si>
    <t>走る２</t>
    <phoneticPr fontId="1"/>
  </si>
  <si>
    <t>帰る１</t>
    <phoneticPr fontId="1"/>
  </si>
  <si>
    <t>走る1</t>
    <rPh sb="0" eb="1">
      <t>ハシ</t>
    </rPh>
    <phoneticPr fontId="1"/>
  </si>
  <si>
    <t>帰る1</t>
    <phoneticPr fontId="1"/>
  </si>
  <si>
    <t>走る2</t>
    <phoneticPr fontId="1"/>
  </si>
  <si>
    <t>car_model_id</t>
    <phoneticPr fontId="1"/>
  </si>
  <si>
    <t>kanban_no (背番号）</t>
    <rPh sb="11" eb="14">
      <t>セバンゴウ</t>
    </rPh>
    <phoneticPr fontId="1"/>
  </si>
  <si>
    <t>搬送指示　間口からストアに搬送</t>
    <phoneticPr fontId="1"/>
  </si>
  <si>
    <t>搬送対象idをリセット</t>
    <phoneticPr fontId="1"/>
  </si>
  <si>
    <t>搬送指示リセット</t>
    <phoneticPr fontId="1"/>
  </si>
  <si>
    <t>間口に搬送対象を呼び出す</t>
    <phoneticPr fontId="1"/>
  </si>
  <si>
    <t>間口に搬送対象idを入力</t>
    <phoneticPr fontId="1"/>
  </si>
  <si>
    <t xml:space="preserve">car_model_id </t>
    <phoneticPr fontId="1"/>
  </si>
  <si>
    <t>無し</t>
    <rPh sb="0" eb="1">
      <t>ナ</t>
    </rPh>
    <phoneticPr fontId="1"/>
  </si>
  <si>
    <t>EMPTY</t>
    <phoneticPr fontId="1"/>
  </si>
  <si>
    <t>updated_time</t>
    <phoneticPr fontId="1"/>
  </si>
  <si>
    <t>lowest</t>
    <phoneticPr fontId="1"/>
  </si>
  <si>
    <t>step_kanban_no</t>
    <phoneticPr fontId="1"/>
  </si>
  <si>
    <t>t_shelf_status</t>
    <phoneticPr fontId="1"/>
  </si>
  <si>
    <t>kotatus_status</t>
    <phoneticPr fontId="1"/>
  </si>
  <si>
    <t xml:space="preserve">add </t>
    <phoneticPr fontId="1"/>
  </si>
  <si>
    <t>デパレ間口 設備信号</t>
    <phoneticPr fontId="1"/>
  </si>
  <si>
    <t>LH 1</t>
    <phoneticPr fontId="1"/>
  </si>
  <si>
    <t>update step_kanban_no &gt; flow_rack 4444</t>
    <phoneticPr fontId="1"/>
  </si>
  <si>
    <t xml:space="preserve">,K30149,K30150 </t>
    <phoneticPr fontId="1"/>
  </si>
  <si>
    <t>t_shelf_status =</t>
    <phoneticPr fontId="1"/>
  </si>
  <si>
    <t>フローラックに step_kanban_no 更新</t>
    <rPh sb="23" eb="25">
      <t>コウシン</t>
    </rPh>
    <phoneticPr fontId="1"/>
  </si>
  <si>
    <t>update step_kanban_no &gt; flow_rack 5555</t>
    <phoneticPr fontId="1"/>
  </si>
  <si>
    <t>update step_kanban_no &gt; flow_rack</t>
    <phoneticPr fontId="1"/>
  </si>
  <si>
    <t>update step_kanban_no &gt; flow_rack 6666</t>
    <phoneticPr fontId="1"/>
  </si>
  <si>
    <t>LH2</t>
    <phoneticPr fontId="1"/>
  </si>
  <si>
    <t>Aライン</t>
    <phoneticPr fontId="1"/>
  </si>
  <si>
    <t xml:space="preserve"> LH3</t>
    <phoneticPr fontId="1"/>
  </si>
  <si>
    <t>RH1</t>
    <phoneticPr fontId="1"/>
  </si>
  <si>
    <t>RH2</t>
    <phoneticPr fontId="1"/>
  </si>
  <si>
    <t xml:space="preserve"> RH3</t>
    <phoneticPr fontId="1"/>
  </si>
  <si>
    <t>payload</t>
    <phoneticPr fontId="1"/>
  </si>
  <si>
    <t>url</t>
    <phoneticPr fontId="1"/>
  </si>
  <si>
    <t>GET</t>
    <phoneticPr fontId="1"/>
  </si>
  <si>
    <t>①</t>
    <phoneticPr fontId="1"/>
  </si>
  <si>
    <t>②</t>
    <phoneticPr fontId="1"/>
  </si>
  <si>
    <t>③</t>
    <phoneticPr fontId="1"/>
  </si>
  <si>
    <t>④</t>
    <phoneticPr fontId="1"/>
  </si>
  <si>
    <t>⑤</t>
    <phoneticPr fontId="1"/>
  </si>
  <si>
    <t>⑥</t>
    <phoneticPr fontId="1"/>
  </si>
  <si>
    <t>⑦</t>
    <phoneticPr fontId="1"/>
  </si>
  <si>
    <t>⑧</t>
    <phoneticPr fontId="1"/>
  </si>
  <si>
    <t>⑨</t>
    <phoneticPr fontId="1"/>
  </si>
  <si>
    <t>⑩</t>
    <phoneticPr fontId="1"/>
  </si>
  <si>
    <t>call_AMR_return</t>
    <phoneticPr fontId="1"/>
  </si>
  <si>
    <t>query_params</t>
    <phoneticPr fontId="1"/>
  </si>
  <si>
    <t>id=button_id&amp;name=Bライン(L1)</t>
    <phoneticPr fontId="1"/>
  </si>
  <si>
    <t>無し</t>
    <phoneticPr fontId="1"/>
  </si>
  <si>
    <t>POST</t>
    <phoneticPr fontId="1"/>
  </si>
  <si>
    <t>comment</t>
    <phoneticPr fontId="1"/>
  </si>
  <si>
    <t>update_take_count</t>
    <phoneticPr fontId="1"/>
  </si>
  <si>
    <t>{ "maguchi_id": 4, 
 "kanban_no": "サ607", 
 "new_take_count": 1
}</t>
    <phoneticPr fontId="1"/>
  </si>
  <si>
    <t>display HTML page</t>
    <phoneticPr fontId="1"/>
  </si>
  <si>
    <t>line_frontage テーブル</t>
    <phoneticPr fontId="1"/>
  </si>
  <si>
    <t>内容</t>
    <phoneticPr fontId="1"/>
  </si>
  <si>
    <t>対応方法 method</t>
    <phoneticPr fontId="1"/>
  </si>
  <si>
    <t>記入者</t>
    <phoneticPr fontId="1"/>
  </si>
  <si>
    <t>リン</t>
    <phoneticPr fontId="1"/>
  </si>
  <si>
    <t>対応部署</t>
    <phoneticPr fontId="1"/>
  </si>
  <si>
    <t>スマファク</t>
    <phoneticPr fontId="1"/>
  </si>
  <si>
    <t>対応者</t>
    <phoneticPr fontId="1"/>
  </si>
  <si>
    <t>完了予定</t>
    <phoneticPr fontId="1"/>
  </si>
  <si>
    <t>完了日</t>
    <phoneticPr fontId="1"/>
  </si>
  <si>
    <t>No</t>
    <phoneticPr fontId="1"/>
  </si>
  <si>
    <t>残課題</t>
    <phoneticPr fontId="1"/>
  </si>
  <si>
    <r>
      <t>平野さん(保全) + リン(スマファク)　</t>
    </r>
    <r>
      <rPr>
        <b/>
        <sz val="16"/>
        <color theme="1"/>
        <rFont val="Segoe UI Symbol"/>
        <family val="3"/>
      </rPr>
      <t>➞</t>
    </r>
    <r>
      <rPr>
        <b/>
        <sz val="16"/>
        <color theme="1"/>
        <rFont val="游ゴシック"/>
        <family val="3"/>
        <charset val="128"/>
        <scheme val="minor"/>
      </rPr>
      <t>　デパレ運用トライ</t>
    </r>
    <rPh sb="0" eb="2">
      <t>ヒラノ</t>
    </rPh>
    <rPh sb="5" eb="7">
      <t>ホゼン</t>
    </rPh>
    <rPh sb="26" eb="28">
      <t>ウンヨウ</t>
    </rPh>
    <phoneticPr fontId="1"/>
  </si>
  <si>
    <t xml:space="preserve">　Bライン側 、　Aライン側 </t>
    <phoneticPr fontId="1"/>
  </si>
  <si>
    <t>走る2リセット</t>
    <phoneticPr fontId="1"/>
  </si>
  <si>
    <t>①間口に搬送対象idを入力</t>
    <phoneticPr fontId="1"/>
  </si>
  <si>
    <t>②間口に搬送対象を呼び出す</t>
    <phoneticPr fontId="1"/>
  </si>
  <si>
    <t>③呼び出し信号をリセット</t>
    <phoneticPr fontId="1"/>
  </si>
  <si>
    <t>④搬送指示　間口からストアに搬送</t>
    <phoneticPr fontId="1"/>
  </si>
  <si>
    <t>⑤搬送対象idをリセット</t>
    <phoneticPr fontId="1"/>
  </si>
  <si>
    <t>⑥搬送指示リセット</t>
    <phoneticPr fontId="1"/>
  </si>
  <si>
    <t>　　　④搬送指示　間口からストアに搬送</t>
    <phoneticPr fontId="1"/>
  </si>
  <si>
    <r>
      <t>10（</t>
    </r>
    <r>
      <rPr>
        <b/>
        <sz val="11"/>
        <color rgb="FFFF0000"/>
        <rFont val="游ゴシック"/>
        <family val="3"/>
        <charset val="128"/>
        <scheme val="minor"/>
      </rPr>
      <t>10</t>
    </r>
    <r>
      <rPr>
        <sz val="11"/>
        <color theme="1"/>
        <rFont val="游ゴシック"/>
        <family val="2"/>
        <scheme val="minor"/>
      </rPr>
      <t>）</t>
    </r>
    <phoneticPr fontId="1"/>
  </si>
  <si>
    <t>13(13)</t>
    <phoneticPr fontId="1"/>
  </si>
  <si>
    <r>
      <t>15</t>
    </r>
    <r>
      <rPr>
        <b/>
        <sz val="11"/>
        <color rgb="FFFF0000"/>
        <rFont val="游ゴシック"/>
        <family val="3"/>
        <charset val="128"/>
        <scheme val="minor"/>
      </rPr>
      <t>(15)</t>
    </r>
    <phoneticPr fontId="1"/>
  </si>
  <si>
    <r>
      <t>2(</t>
    </r>
    <r>
      <rPr>
        <b/>
        <sz val="11"/>
        <color rgb="FFFF0000"/>
        <rFont val="游ゴシック"/>
        <family val="3"/>
        <charset val="128"/>
        <scheme val="minor"/>
      </rPr>
      <t>2</t>
    </r>
    <r>
      <rPr>
        <sz val="11"/>
        <color theme="1"/>
        <rFont val="游ゴシック"/>
        <family val="2"/>
        <scheme val="minor"/>
      </rPr>
      <t>)</t>
    </r>
    <phoneticPr fontId="1"/>
  </si>
  <si>
    <r>
      <t>5(</t>
    </r>
    <r>
      <rPr>
        <b/>
        <sz val="11"/>
        <color rgb="FFFF0000"/>
        <rFont val="游ゴシック"/>
        <family val="3"/>
        <charset val="128"/>
        <scheme val="minor"/>
      </rPr>
      <t>5</t>
    </r>
    <r>
      <rPr>
        <sz val="11"/>
        <color theme="1"/>
        <rFont val="游ゴシック"/>
        <family val="2"/>
        <scheme val="minor"/>
      </rPr>
      <t>)</t>
    </r>
    <phoneticPr fontId="1"/>
  </si>
  <si>
    <t>7(7)</t>
    <phoneticPr fontId="1"/>
  </si>
  <si>
    <t>看板抜き、看板差しのsignal_id 更新出来ない</t>
    <rPh sb="0" eb="2">
      <t>カンバン</t>
    </rPh>
    <rPh sb="2" eb="3">
      <t>ヌ</t>
    </rPh>
    <rPh sb="5" eb="8">
      <t>カンバンサ</t>
    </rPh>
    <rPh sb="20" eb="22">
      <t>コウシン</t>
    </rPh>
    <rPh sb="22" eb="24">
      <t>デキ</t>
    </rPh>
    <phoneticPr fontId="1"/>
  </si>
  <si>
    <t>get_depallet_by_plat cannot get the update app_config_data.json</t>
    <phoneticPr fontId="1"/>
  </si>
  <si>
    <t>app.route("/api/get_product_infos")</t>
    <phoneticPr fontId="1"/>
  </si>
  <si>
    <t>10.104.16.129 server</t>
    <phoneticPr fontId="1"/>
  </si>
  <si>
    <t>API name</t>
    <phoneticPr fontId="1"/>
  </si>
  <si>
    <t>app.route("/api/a_line_depallet_maguchi")</t>
    <phoneticPr fontId="1"/>
  </si>
  <si>
    <t>Product infos</t>
    <phoneticPr fontId="1"/>
  </si>
  <si>
    <t>Bラインデパレ間口</t>
    <rPh sb="7" eb="9">
      <t>マグチ</t>
    </rPh>
    <phoneticPr fontId="1"/>
  </si>
  <si>
    <t>Aラインデパレ間口</t>
    <phoneticPr fontId="1"/>
  </si>
  <si>
    <t>app.route("/api/ｂ_line_depallet_maguchi")</t>
    <phoneticPr fontId="1"/>
  </si>
  <si>
    <t>id=button_id&amp;name=Aライン(L1)</t>
    <phoneticPr fontId="1"/>
  </si>
  <si>
    <t>app.route("/api/get_depallet_area_by_plat"）</t>
    <phoneticPr fontId="1"/>
  </si>
  <si>
    <t>Get depallet area by plat</t>
    <phoneticPr fontId="1"/>
  </si>
  <si>
    <t>app.route("/api/update_take_count")</t>
    <phoneticPr fontId="1"/>
  </si>
  <si>
    <t>app.route("api/call_AMR_return")</t>
    <phoneticPr fontId="1"/>
  </si>
  <si>
    <t>{"id": button_id}</t>
    <phoneticPr fontId="1"/>
  </si>
  <si>
    <t>app.route("api/call_targets_id")</t>
    <phoneticPr fontId="1"/>
  </si>
  <si>
    <t>app.route("api/insert_target_ids")</t>
    <phoneticPr fontId="1"/>
  </si>
  <si>
    <t>app.route("api/insert_kanban_nuki")</t>
    <phoneticPr fontId="1"/>
  </si>
  <si>
    <t>app.route("api/insert/kanban_sashi")</t>
    <phoneticPr fontId="1"/>
  </si>
  <si>
    <t>かんばん差しの発信を呼び出し</t>
    <phoneticPr fontId="1"/>
  </si>
  <si>
    <t>かんばん抜きの発信を呼び出し</t>
    <rPh sb="4" eb="5">
      <t>ヌ</t>
    </rPh>
    <phoneticPr fontId="1"/>
  </si>
  <si>
    <t>太田さん、</t>
  </si>
  <si>
    <t>いつもお世話になっております。</t>
  </si>
  <si>
    <t>先週の業務進捗と今後の予定と今後の予定についてご報告いたします。</t>
  </si>
  <si>
    <t>■ 実施内容（11月3日〜7日）</t>
  </si>
  <si>
    <t>業務開始。必要なアプリケーションのインストールを行い、スマートファクトリーチームより初期教育を受けました。</t>
  </si>
  <si>
    <t>アプリの追加インストール・各種申請手続き、長内さんとともに知立工場へ出向き、現地確認を行いました。</t>
  </si>
  <si>
    <t>11/5〜7 　</t>
  </si>
  <si>
    <t>川澄さんと知立工場にてAMRプロジェクトの環境構築（DB、Python、VS Code等）を実施、</t>
  </si>
  <si>
    <t>310D ライン完成品情報画面UI/API更新作業に着手しました。</t>
  </si>
  <si>
    <t>■ 今後の予定（11月10日〜14日）</t>
  </si>
  <si>
    <t>11/10〜11 　</t>
  </si>
  <si>
    <t>更新した310Dライン完成品情報画面ローカルテストを完了し、正常動作を確認済みです。</t>
  </si>
  <si>
    <t>11/12〜14 　</t>
  </si>
  <si>
    <t>三号棟出荷サーバーにて本番環境での動作確認テストを予定しています。 </t>
  </si>
  <si>
    <t>川澄さんと連携し、知立工場でのAMRプロジェクト支援を継続いたします。</t>
  </si>
  <si>
    <t>よろしくお願いいたします。</t>
  </si>
  <si>
    <t>shelf_code K30147,K30148</t>
    <phoneticPr fontId="1"/>
  </si>
  <si>
    <r>
      <t xml:space="preserve">location_status </t>
    </r>
    <r>
      <rPr>
        <sz val="11"/>
        <color theme="0"/>
        <rFont val="Segoe UI Symbol"/>
        <family val="2"/>
      </rPr>
      <t>➞</t>
    </r>
    <r>
      <rPr>
        <sz val="11"/>
        <color theme="0"/>
        <rFont val="游ゴシック"/>
        <family val="2"/>
        <scheme val="minor"/>
      </rPr>
      <t xml:space="preserve"> plat(29)</t>
    </r>
    <phoneticPr fontId="1"/>
  </si>
  <si>
    <r>
      <t xml:space="preserve">location_status </t>
    </r>
    <r>
      <rPr>
        <sz val="11"/>
        <color theme="0"/>
        <rFont val="Segoe UI Symbol"/>
        <family val="2"/>
      </rPr>
      <t>➞</t>
    </r>
    <r>
      <rPr>
        <sz val="11"/>
        <color theme="0"/>
        <rFont val="游ゴシック"/>
        <family val="2"/>
        <scheme val="minor"/>
      </rPr>
      <t xml:space="preserve"> plat(25)</t>
    </r>
    <phoneticPr fontId="1"/>
  </si>
  <si>
    <r>
      <t xml:space="preserve">location_status </t>
    </r>
    <r>
      <rPr>
        <sz val="11"/>
        <color theme="0"/>
        <rFont val="Segoe UI Symbol"/>
        <family val="2"/>
      </rPr>
      <t>➞</t>
    </r>
    <r>
      <rPr>
        <sz val="11"/>
        <color theme="0"/>
        <rFont val="游ゴシック"/>
        <family val="2"/>
        <scheme val="minor"/>
      </rPr>
      <t xml:space="preserve"> plat(20)</t>
    </r>
    <phoneticPr fontId="1"/>
  </si>
  <si>
    <r>
      <t xml:space="preserve">location_status </t>
    </r>
    <r>
      <rPr>
        <sz val="11"/>
        <color theme="0"/>
        <rFont val="Segoe UI Symbol"/>
        <family val="2"/>
      </rPr>
      <t>➞</t>
    </r>
    <r>
      <rPr>
        <sz val="11"/>
        <color theme="0"/>
        <rFont val="游ゴシック"/>
        <family val="2"/>
        <scheme val="minor"/>
      </rPr>
      <t xml:space="preserve"> plat(22)</t>
    </r>
    <phoneticPr fontId="1"/>
  </si>
  <si>
    <t>app.route("/api/line_frontage_click"）</t>
    <phoneticPr fontId="1"/>
  </si>
  <si>
    <t>⑪</t>
    <phoneticPr fontId="1"/>
  </si>
  <si>
    <t>詳細設計(サブフロー)</t>
    <phoneticPr fontId="1"/>
  </si>
  <si>
    <t>呼出元</t>
    <rPh sb="0" eb="2">
      <t>ヨビダシ</t>
    </rPh>
    <rPh sb="2" eb="3">
      <t>モト</t>
    </rPh>
    <phoneticPr fontId="1"/>
  </si>
  <si>
    <t>内容</t>
    <rPh sb="0" eb="2">
      <t>ナイヨウ</t>
    </rPh>
    <phoneticPr fontId="1"/>
  </si>
  <si>
    <t>Flask.プログラム</t>
    <phoneticPr fontId="1"/>
  </si>
  <si>
    <t>クラス名</t>
    <rPh sb="3" eb="4">
      <t>メイ</t>
    </rPh>
    <phoneticPr fontId="1"/>
  </si>
  <si>
    <t>基底クラス</t>
    <rPh sb="0" eb="2">
      <t>キテイ</t>
    </rPh>
    <phoneticPr fontId="1"/>
  </si>
  <si>
    <t>関数、メソッド名</t>
    <rPh sb="0" eb="2">
      <t>カンスウ</t>
    </rPh>
    <rPh sb="7" eb="8">
      <t>メイ</t>
    </rPh>
    <phoneticPr fontId="1"/>
  </si>
  <si>
    <t>app.py</t>
    <phoneticPr fontId="1"/>
  </si>
  <si>
    <t>処理フロー</t>
    <rPh sb="0" eb="2">
      <t>ショリ</t>
    </rPh>
    <phoneticPr fontId="1"/>
  </si>
  <si>
    <t>処理内容</t>
    <rPh sb="0" eb="4">
      <t>ショリナイヨウ</t>
    </rPh>
    <phoneticPr fontId="1"/>
  </si>
  <si>
    <r>
      <rPr>
        <sz val="8"/>
        <color rgb="FFA31515"/>
        <rFont val="ＭＳ 明朝"/>
        <family val="1"/>
        <charset val="128"/>
      </rPr>
      <t>管理画面表示</t>
    </r>
    <r>
      <rPr>
        <sz val="8"/>
        <color rgb="FFA31515"/>
        <rFont val="Consolas"/>
        <family val="3"/>
      </rPr>
      <t>(</t>
    </r>
    <r>
      <rPr>
        <sz val="8"/>
        <color rgb="FFA31515"/>
        <rFont val="Meiryo UI"/>
        <family val="3"/>
        <charset val="128"/>
      </rPr>
      <t>「</t>
    </r>
    <r>
      <rPr>
        <sz val="8"/>
        <color rgb="FFA31515"/>
        <rFont val="Consolas"/>
        <family val="3"/>
      </rPr>
      <t>control.html</t>
    </r>
    <r>
      <rPr>
        <sz val="8"/>
        <color rgb="FFA31515"/>
        <rFont val="Meiryo UI"/>
        <family val="3"/>
        <charset val="128"/>
      </rPr>
      <t>」を開く、マップ表示用のスケールを設定</t>
    </r>
    <r>
      <rPr>
        <sz val="8"/>
        <color rgb="FFA31515"/>
        <rFont val="Consolas"/>
        <family val="3"/>
      </rPr>
      <t>)</t>
    </r>
    <rPh sb="22" eb="23">
      <t>ヒラ</t>
    </rPh>
    <rPh sb="28" eb="30">
      <t>ヒョウジ</t>
    </rPh>
    <rPh sb="30" eb="31">
      <t>ヨウ</t>
    </rPh>
    <rPh sb="37" eb="39">
      <t>セッテイ</t>
    </rPh>
    <phoneticPr fontId="1"/>
  </si>
  <si>
    <t>未実装</t>
    <rPh sb="0" eb="3">
      <t>ミジッソウ</t>
    </rPh>
    <phoneticPr fontId="1"/>
  </si>
  <si>
    <r>
      <t>@app.route(</t>
    </r>
    <r>
      <rPr>
        <sz val="8"/>
        <color rgb="FFA31515"/>
        <rFont val="Consolas"/>
        <family val="3"/>
      </rPr>
      <t>"/ui/liftoperation/&lt;line&gt;"</t>
    </r>
    <r>
      <rPr>
        <sz val="8"/>
        <color rgb="FF000000"/>
        <rFont val="Consolas"/>
        <family val="3"/>
      </rPr>
      <t>)</t>
    </r>
  </si>
  <si>
    <t>未実装(リフトマン用のパレットモニタ画面予定)</t>
    <rPh sb="0" eb="3">
      <t>ミジッソウ</t>
    </rPh>
    <rPh sb="9" eb="10">
      <t>ヨウ</t>
    </rPh>
    <rPh sb="18" eb="20">
      <t>ガメン</t>
    </rPh>
    <rPh sb="20" eb="22">
      <t>ヨテイ</t>
    </rPh>
    <phoneticPr fontId="1"/>
  </si>
  <si>
    <r>
      <t>@app.route(</t>
    </r>
    <r>
      <rPr>
        <sz val="8"/>
        <color rgb="FFA31515"/>
        <rFont val="Consolas"/>
        <family val="3"/>
      </rPr>
      <t>"/indication/liftside/linea"</t>
    </r>
    <r>
      <rPr>
        <sz val="8"/>
        <color rgb="FF000000"/>
        <rFont val="Consolas"/>
        <family val="3"/>
      </rPr>
      <t>)</t>
    </r>
  </si>
  <si>
    <t>Aラインのシュータ上のパレット状態を読み込み</t>
    <rPh sb="9" eb="10">
      <t>ジョウ</t>
    </rPh>
    <rPh sb="15" eb="17">
      <t>ジョウタイ</t>
    </rPh>
    <rPh sb="18" eb="19">
      <t>ヨ</t>
    </rPh>
    <rPh sb="20" eb="21">
      <t>コ</t>
    </rPh>
    <phoneticPr fontId="1"/>
  </si>
  <si>
    <r>
      <t>@app.route(</t>
    </r>
    <r>
      <rPr>
        <sz val="8"/>
        <color rgb="FFA31515"/>
        <rFont val="Consolas"/>
        <family val="3"/>
      </rPr>
      <t>"/indication/liftside/lineb"</t>
    </r>
    <r>
      <rPr>
        <sz val="8"/>
        <color rgb="FF000000"/>
        <rFont val="Consolas"/>
        <family val="3"/>
      </rPr>
      <t>)</t>
    </r>
  </si>
  <si>
    <t>Bラインのシュータ上のパレット状態を読み込み</t>
    <rPh sb="9" eb="10">
      <t>ジョウ</t>
    </rPh>
    <rPh sb="15" eb="17">
      <t>ジョウタイ</t>
    </rPh>
    <rPh sb="18" eb="19">
      <t>ヨ</t>
    </rPh>
    <rPh sb="20" eb="21">
      <t>コ</t>
    </rPh>
    <phoneticPr fontId="1"/>
  </si>
  <si>
    <r>
      <t>@app.route(</t>
    </r>
    <r>
      <rPr>
        <sz val="8"/>
        <color rgb="FFA31515"/>
        <rFont val="Consolas"/>
        <family val="3"/>
      </rPr>
      <t>"/map"</t>
    </r>
    <r>
      <rPr>
        <sz val="8"/>
        <color rgb="FF000000"/>
        <rFont val="Consolas"/>
        <family val="3"/>
      </rPr>
      <t>)</t>
    </r>
  </si>
  <si>
    <t>マップ作画データ取得</t>
    <rPh sb="3" eb="5">
      <t>サクガ</t>
    </rPh>
    <rPh sb="8" eb="10">
      <t>シュトク</t>
    </rPh>
    <phoneticPr fontId="1"/>
  </si>
  <si>
    <r>
      <t>@app.route(</t>
    </r>
    <r>
      <rPr>
        <sz val="8"/>
        <color rgb="FFA31515"/>
        <rFont val="Consolas"/>
        <family val="3"/>
      </rPr>
      <t>"/robot"</t>
    </r>
    <r>
      <rPr>
        <sz val="8"/>
        <color rgb="FF000000"/>
        <rFont val="Consolas"/>
        <family val="3"/>
      </rPr>
      <t>)</t>
    </r>
  </si>
  <si>
    <t>マップ上のロボット情報獲得</t>
    <rPh sb="3" eb="4">
      <t>ジョウ</t>
    </rPh>
    <rPh sb="9" eb="11">
      <t>ジョウホウ</t>
    </rPh>
    <rPh sb="11" eb="13">
      <t>カクトク</t>
    </rPh>
    <phoneticPr fontId="1"/>
  </si>
  <si>
    <r>
      <t>@app.route(</t>
    </r>
    <r>
      <rPr>
        <sz val="8"/>
        <color rgb="FFA31515"/>
        <rFont val="Consolas"/>
        <family val="3"/>
      </rPr>
      <t>"/shelf"</t>
    </r>
    <r>
      <rPr>
        <sz val="8"/>
        <color rgb="FF000000"/>
        <rFont val="Consolas"/>
        <family val="3"/>
      </rPr>
      <t>)</t>
    </r>
  </si>
  <si>
    <t>マップ上の棚情報獲得</t>
    <rPh sb="5" eb="6">
      <t>タナ</t>
    </rPh>
    <rPh sb="6" eb="8">
      <t>ジョウホウ</t>
    </rPh>
    <rPh sb="8" eb="10">
      <t>カクトク</t>
    </rPh>
    <phoneticPr fontId="1"/>
  </si>
  <si>
    <r>
      <t>def</t>
    </r>
    <r>
      <rPr>
        <sz val="8"/>
        <color rgb="FF000000"/>
        <rFont val="Consolas"/>
        <family val="3"/>
      </rPr>
      <t xml:space="preserve"> get_mode():</t>
    </r>
  </si>
  <si>
    <t>DBからWCSの自動、起動状態の獲得</t>
    <rPh sb="8" eb="10">
      <t>ジドウ</t>
    </rPh>
    <rPh sb="11" eb="13">
      <t>キドウ</t>
    </rPh>
    <rPh sb="13" eb="15">
      <t>ジョウタイ</t>
    </rPh>
    <rPh sb="16" eb="18">
      <t>カクトク</t>
    </rPh>
    <phoneticPr fontId="1"/>
  </si>
  <si>
    <r>
      <t>def</t>
    </r>
    <r>
      <rPr>
        <sz val="8"/>
        <color rgb="FF000000"/>
        <rFont val="Consolas"/>
        <family val="3"/>
      </rPr>
      <t xml:space="preserve"> get_error():</t>
    </r>
  </si>
  <si>
    <t>DBからエラーログ獲得</t>
    <rPh sb="9" eb="11">
      <t>カクトク</t>
    </rPh>
    <phoneticPr fontId="1"/>
  </si>
  <si>
    <r>
      <t>@app.route(</t>
    </r>
    <r>
      <rPr>
        <sz val="8"/>
        <color rgb="FFA31515"/>
        <rFont val="Consolas"/>
        <family val="3"/>
      </rPr>
      <t>"/data/error"</t>
    </r>
    <r>
      <rPr>
        <sz val="8"/>
        <color rgb="FF000000"/>
        <rFont val="Consolas"/>
        <family val="3"/>
      </rPr>
      <t>,  methods=[</t>
    </r>
    <r>
      <rPr>
        <sz val="8"/>
        <color rgb="FFA31515"/>
        <rFont val="Consolas"/>
        <family val="3"/>
      </rPr>
      <t>"GET"</t>
    </r>
    <r>
      <rPr>
        <sz val="8"/>
        <color rgb="FF000000"/>
        <rFont val="Consolas"/>
        <family val="3"/>
      </rPr>
      <t>])</t>
    </r>
  </si>
  <si>
    <t>エラーログ獲得</t>
    <rPh sb="5" eb="7">
      <t>カクトク</t>
    </rPh>
    <phoneticPr fontId="1"/>
  </si>
  <si>
    <r>
      <t>@app.route(</t>
    </r>
    <r>
      <rPr>
        <sz val="8"/>
        <color rgb="FFA31515"/>
        <rFont val="Consolas"/>
        <family val="3"/>
      </rPr>
      <t>"/data/mode"</t>
    </r>
    <r>
      <rPr>
        <sz val="8"/>
        <color rgb="FF000000"/>
        <rFont val="Consolas"/>
        <family val="3"/>
      </rPr>
      <t>,  methods=[</t>
    </r>
    <r>
      <rPr>
        <sz val="8"/>
        <color rgb="FFA31515"/>
        <rFont val="Consolas"/>
        <family val="3"/>
      </rPr>
      <t>"GET"</t>
    </r>
    <r>
      <rPr>
        <sz val="8"/>
        <color rgb="FF000000"/>
        <rFont val="Consolas"/>
        <family val="3"/>
      </rPr>
      <t>])</t>
    </r>
  </si>
  <si>
    <t>WCSの自動、起動状態の獲得</t>
    <rPh sb="4" eb="6">
      <t>ジドウ</t>
    </rPh>
    <rPh sb="7" eb="9">
      <t>キドウ</t>
    </rPh>
    <rPh sb="9" eb="11">
      <t>ジョウタイ</t>
    </rPh>
    <rPh sb="12" eb="14">
      <t>カクトク</t>
    </rPh>
    <phoneticPr fontId="1"/>
  </si>
  <si>
    <r>
      <t>@app.route(</t>
    </r>
    <r>
      <rPr>
        <sz val="8"/>
        <color rgb="FFA31515"/>
        <rFont val="Consolas"/>
        <family val="3"/>
      </rPr>
      <t>"/data/shelf"</t>
    </r>
    <r>
      <rPr>
        <sz val="8"/>
        <color rgb="FF000000"/>
        <rFont val="Consolas"/>
        <family val="3"/>
      </rPr>
      <t>,  methods=[</t>
    </r>
    <r>
      <rPr>
        <sz val="8"/>
        <color rgb="FFA31515"/>
        <rFont val="Consolas"/>
        <family val="3"/>
      </rPr>
      <t>"GET"</t>
    </r>
    <r>
      <rPr>
        <sz val="8"/>
        <color rgb="FF000000"/>
        <rFont val="Consolas"/>
        <family val="3"/>
      </rPr>
      <t>])</t>
    </r>
  </si>
  <si>
    <t>棚の情報表示</t>
    <rPh sb="0" eb="1">
      <t>タナ</t>
    </rPh>
    <rPh sb="2" eb="4">
      <t>ジョウホウ</t>
    </rPh>
    <rPh sb="4" eb="6">
      <t>ヒョウジ</t>
    </rPh>
    <phoneticPr fontId="1"/>
  </si>
  <si>
    <r>
      <t>@app.route(</t>
    </r>
    <r>
      <rPr>
        <sz val="8"/>
        <color rgb="FFA31515"/>
        <rFont val="Consolas"/>
        <family val="3"/>
      </rPr>
      <t>"/data/amr"</t>
    </r>
    <r>
      <rPr>
        <sz val="8"/>
        <color rgb="FF000000"/>
        <rFont val="Consolas"/>
        <family val="3"/>
      </rPr>
      <t>,  methods=[</t>
    </r>
    <r>
      <rPr>
        <sz val="8"/>
        <color rgb="FFA31515"/>
        <rFont val="Consolas"/>
        <family val="3"/>
      </rPr>
      <t>"GET"</t>
    </r>
    <r>
      <rPr>
        <sz val="8"/>
        <color rgb="FF000000"/>
        <rFont val="Consolas"/>
        <family val="3"/>
      </rPr>
      <t>])</t>
    </r>
  </si>
  <si>
    <t>ロボットの情報表示</t>
    <rPh sb="5" eb="9">
      <t>ジョウホウヒョウジ</t>
    </rPh>
    <phoneticPr fontId="1"/>
  </si>
  <si>
    <r>
      <t>@app.route(</t>
    </r>
    <r>
      <rPr>
        <sz val="8"/>
        <color rgb="FFA31515"/>
        <rFont val="Consolas"/>
        <family val="3"/>
      </rPr>
      <t>"/set/mode"</t>
    </r>
    <r>
      <rPr>
        <sz val="8"/>
        <color rgb="FF000000"/>
        <rFont val="Consolas"/>
        <family val="3"/>
      </rPr>
      <t>,  methods=[</t>
    </r>
    <r>
      <rPr>
        <sz val="8"/>
        <color rgb="FFA31515"/>
        <rFont val="Consolas"/>
        <family val="3"/>
      </rPr>
      <t>"POST"</t>
    </r>
    <r>
      <rPr>
        <sz val="8"/>
        <color rgb="FF000000"/>
        <rFont val="Consolas"/>
        <family val="3"/>
      </rPr>
      <t>])</t>
    </r>
  </si>
  <si>
    <t>自動各個モード切り替え</t>
    <phoneticPr fontId="1"/>
  </si>
  <si>
    <r>
      <t>@app.route(</t>
    </r>
    <r>
      <rPr>
        <sz val="8"/>
        <color rgb="FFA31515"/>
        <rFont val="Consolas"/>
        <family val="3"/>
      </rPr>
      <t>"/set/redywcs"</t>
    </r>
    <r>
      <rPr>
        <sz val="8"/>
        <color rgb="FF000000"/>
        <rFont val="Consolas"/>
        <family val="3"/>
      </rPr>
      <t>,  methods=[</t>
    </r>
    <r>
      <rPr>
        <sz val="8"/>
        <color rgb="FFA31515"/>
        <rFont val="Consolas"/>
        <family val="3"/>
      </rPr>
      <t>"POST"</t>
    </r>
    <r>
      <rPr>
        <sz val="8"/>
        <color rgb="FF000000"/>
        <rFont val="Consolas"/>
        <family val="3"/>
      </rPr>
      <t>])</t>
    </r>
  </si>
  <si>
    <t>起動準備セット</t>
    <phoneticPr fontId="1"/>
  </si>
  <si>
    <r>
      <t>@app.route(</t>
    </r>
    <r>
      <rPr>
        <sz val="8"/>
        <color rgb="FFA31515"/>
        <rFont val="Consolas"/>
        <family val="3"/>
      </rPr>
      <t>"/set/wcs"</t>
    </r>
    <r>
      <rPr>
        <sz val="8"/>
        <color rgb="FF000000"/>
        <rFont val="Consolas"/>
        <family val="3"/>
      </rPr>
      <t>, methods=[</t>
    </r>
    <r>
      <rPr>
        <sz val="8"/>
        <color rgb="FFA31515"/>
        <rFont val="Consolas"/>
        <family val="3"/>
      </rPr>
      <t>"POST"</t>
    </r>
    <r>
      <rPr>
        <sz val="8"/>
        <color rgb="FF000000"/>
        <rFont val="Consolas"/>
        <family val="3"/>
      </rPr>
      <t>])</t>
    </r>
  </si>
  <si>
    <t>起動</t>
    <phoneticPr fontId="1"/>
  </si>
  <si>
    <r>
      <t>@app.route(</t>
    </r>
    <r>
      <rPr>
        <sz val="8"/>
        <color rgb="FFA31515"/>
        <rFont val="Consolas"/>
        <family val="3"/>
      </rPr>
      <t>"/set/errorreset"</t>
    </r>
    <r>
      <rPr>
        <sz val="8"/>
        <color rgb="FF000000"/>
        <rFont val="Consolas"/>
        <family val="3"/>
      </rPr>
      <t>, methods=[</t>
    </r>
    <r>
      <rPr>
        <sz val="8"/>
        <color rgb="FFA31515"/>
        <rFont val="Consolas"/>
        <family val="3"/>
      </rPr>
      <t>"POST"</t>
    </r>
    <r>
      <rPr>
        <sz val="8"/>
        <color rgb="FF000000"/>
        <rFont val="Consolas"/>
        <family val="3"/>
      </rPr>
      <t>])</t>
    </r>
  </si>
  <si>
    <t>エラーリセット</t>
    <phoneticPr fontId="1"/>
  </si>
  <si>
    <r>
      <t>@app.route(</t>
    </r>
    <r>
      <rPr>
        <sz val="8"/>
        <color rgb="FFA31515"/>
        <rFont val="Consolas"/>
        <family val="3"/>
      </rPr>
      <t>"/set/manualmove"</t>
    </r>
    <r>
      <rPr>
        <sz val="8"/>
        <color rgb="FF000000"/>
        <rFont val="Consolas"/>
        <family val="3"/>
      </rPr>
      <t>, methods=[</t>
    </r>
    <r>
      <rPr>
        <sz val="8"/>
        <color rgb="FFA31515"/>
        <rFont val="Consolas"/>
        <family val="3"/>
      </rPr>
      <t>"POST"</t>
    </r>
    <r>
      <rPr>
        <sz val="8"/>
        <color rgb="FF000000"/>
        <rFont val="Consolas"/>
        <family val="3"/>
      </rPr>
      <t>])</t>
    </r>
  </si>
  <si>
    <t>各個、単体移動</t>
    <rPh sb="0" eb="2">
      <t>カッコ</t>
    </rPh>
    <rPh sb="3" eb="5">
      <t>タンタイ</t>
    </rPh>
    <rPh sb="5" eb="7">
      <t>イドウ</t>
    </rPh>
    <phoneticPr fontId="1"/>
  </si>
  <si>
    <r>
      <t>@app.route(</t>
    </r>
    <r>
      <rPr>
        <sz val="8"/>
        <color rgb="FFA31515"/>
        <rFont val="Consolas"/>
        <family val="3"/>
      </rPr>
      <t>"/set/cancel"</t>
    </r>
    <r>
      <rPr>
        <sz val="8"/>
        <color rgb="FF000000"/>
        <rFont val="Consolas"/>
        <family val="3"/>
      </rPr>
      <t>, methods=[</t>
    </r>
    <r>
      <rPr>
        <sz val="8"/>
        <color rgb="FFA31515"/>
        <rFont val="Consolas"/>
        <family val="3"/>
      </rPr>
      <t>"POST"</t>
    </r>
    <r>
      <rPr>
        <sz val="8"/>
        <color rgb="FF000000"/>
        <rFont val="Consolas"/>
        <family val="3"/>
      </rPr>
      <t>])</t>
    </r>
  </si>
  <si>
    <t>各個タスクキャンセル指示</t>
    <rPh sb="0" eb="2">
      <t>カッコ</t>
    </rPh>
    <phoneticPr fontId="1"/>
  </si>
  <si>
    <r>
      <t>@app.route(</t>
    </r>
    <r>
      <rPr>
        <sz val="8"/>
        <color rgb="FFA31515"/>
        <rFont val="Consolas"/>
        <family val="3"/>
      </rPr>
      <t>"/set/manualload"</t>
    </r>
    <r>
      <rPr>
        <sz val="8"/>
        <color rgb="FF000000"/>
        <rFont val="Consolas"/>
        <family val="3"/>
      </rPr>
      <t>, methods=[</t>
    </r>
    <r>
      <rPr>
        <sz val="8"/>
        <color rgb="FFA31515"/>
        <rFont val="Consolas"/>
        <family val="3"/>
      </rPr>
      <t>"POST"</t>
    </r>
    <r>
      <rPr>
        <sz val="8"/>
        <color rgb="FF000000"/>
        <rFont val="Consolas"/>
        <family val="3"/>
      </rPr>
      <t>])</t>
    </r>
  </si>
  <si>
    <t>各個棚移動</t>
    <rPh sb="0" eb="2">
      <t>カッコ</t>
    </rPh>
    <rPh sb="2" eb="3">
      <t>タナ</t>
    </rPh>
    <rPh sb="3" eb="5">
      <t>イドウ</t>
    </rPh>
    <phoneticPr fontId="1"/>
  </si>
  <si>
    <r>
      <t>@app.route(</t>
    </r>
    <r>
      <rPr>
        <sz val="8"/>
        <color rgb="FFA31515"/>
        <rFont val="Consolas"/>
        <family val="3"/>
      </rPr>
      <t>"/set/manualfech"</t>
    </r>
    <r>
      <rPr>
        <sz val="8"/>
        <color rgb="FF000000"/>
        <rFont val="Consolas"/>
        <family val="3"/>
      </rPr>
      <t>, methods=[</t>
    </r>
    <r>
      <rPr>
        <sz val="8"/>
        <color rgb="FFA31515"/>
        <rFont val="Consolas"/>
        <family val="3"/>
      </rPr>
      <t>"POST"</t>
    </r>
    <r>
      <rPr>
        <sz val="8"/>
        <color rgb="FF000000"/>
        <rFont val="Consolas"/>
        <family val="3"/>
      </rPr>
      <t>])</t>
    </r>
  </si>
  <si>
    <t>各個棚持ち継続移動</t>
    <rPh sb="0" eb="2">
      <t>カッコ</t>
    </rPh>
    <rPh sb="2" eb="3">
      <t>タナ</t>
    </rPh>
    <rPh sb="3" eb="4">
      <t>モ</t>
    </rPh>
    <rPh sb="5" eb="7">
      <t>ケイゾク</t>
    </rPh>
    <rPh sb="7" eb="9">
      <t>イドウ</t>
    </rPh>
    <phoneticPr fontId="1"/>
  </si>
  <si>
    <t>知立工場　デパレ運用トライ</t>
    <rPh sb="0" eb="4">
      <t>チリュウコウジョウ</t>
    </rPh>
    <rPh sb="8" eb="10">
      <t>ウンヨウ</t>
    </rPh>
    <phoneticPr fontId="1"/>
  </si>
  <si>
    <r>
      <rPr>
        <sz val="11"/>
        <color theme="1"/>
        <rFont val="Segoe UI Symbol"/>
        <family val="2"/>
      </rPr>
      <t>➞</t>
    </r>
    <r>
      <rPr>
        <sz val="11"/>
        <color theme="1"/>
        <rFont val="游ゴシック"/>
        <family val="2"/>
        <scheme val="minor"/>
      </rPr>
      <t>@app.route("/b_line_depallet_maguchi", methods=["GET"])</t>
    </r>
    <phoneticPr fontId="1"/>
  </si>
  <si>
    <r>
      <rPr>
        <sz val="11"/>
        <color theme="1"/>
        <rFont val="Segoe UI Symbol"/>
        <family val="2"/>
      </rPr>
      <t>➞</t>
    </r>
    <r>
      <rPr>
        <sz val="11"/>
        <color theme="1"/>
        <rFont val="Calibri"/>
        <family val="2"/>
      </rPr>
      <t>@app.route("/b_line_depallet_maguchi", methods=["GET"])</t>
    </r>
    <phoneticPr fontId="1"/>
  </si>
  <si>
    <t>エラーメッセージ handling for take_count api</t>
    <phoneticPr fontId="1"/>
  </si>
  <si>
    <t>完了</t>
    <rPh sb="0" eb="2">
      <t>カンリョウ</t>
    </rPh>
    <phoneticPr fontId="1"/>
  </si>
  <si>
    <t>Pause setInterval in frontend and reload config in get depallet_area_by_id API</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</si>
</sst>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游ゴシック"/>
      <family val="2"/>
      <scheme val="minor"/>
    </font>
    <font>
      <sz val="6"/>
      <name val="游ゴシック"/>
      <family val="3"/>
      <charset val="128"/>
      <scheme val="minor"/>
    </font>
    <font>
      <sz val="11"/>
      <color theme="1"/>
      <name val="Segoe UI Symbol"/>
      <family val="2"/>
    </font>
    <font>
      <sz val="8"/>
      <color theme="1"/>
      <name val="Arial"/>
      <family val="2"/>
    </font>
    <font>
      <sz val="11"/>
      <color theme="1"/>
      <name val="游ゴシック"/>
      <family val="2"/>
      <charset val="128"/>
    </font>
    <font>
      <u/>
      <sz val="11"/>
      <color theme="10"/>
      <name val="游ゴシック"/>
      <family val="2"/>
      <scheme val="minor"/>
    </font>
    <font>
      <sz val="11"/>
      <color theme="1"/>
      <name val="ＭＳ Ｐゴシック"/>
      <family val="2"/>
      <charset val="128"/>
    </font>
    <font>
      <sz val="11"/>
      <color theme="1"/>
      <name val="游ゴシック"/>
      <family val="3"/>
      <charset val="128"/>
      <scheme val="minor"/>
    </font>
    <font>
      <b/>
      <sz val="11"/>
      <color theme="1"/>
      <name val="游ゴシック"/>
      <family val="3"/>
      <charset val="128"/>
      <scheme val="minor"/>
    </font>
    <font>
      <b/>
      <sz val="11"/>
      <color theme="0"/>
      <name val="游ゴシック"/>
      <family val="3"/>
      <charset val="128"/>
      <scheme val="minor"/>
    </font>
    <font>
      <b/>
      <sz val="12"/>
      <color rgb="FF000000"/>
      <name val="游ゴシック"/>
      <family val="3"/>
      <charset val="128"/>
    </font>
    <font>
      <b/>
      <sz val="11"/>
      <color rgb="FF000000"/>
      <name val="ＭＳ Ｐゴシック"/>
      <family val="3"/>
      <charset val="128"/>
    </font>
    <font>
      <b/>
      <sz val="11"/>
      <color rgb="FFFF0000"/>
      <name val="游ゴシック"/>
      <family val="3"/>
      <charset val="128"/>
      <scheme val="minor"/>
    </font>
    <font>
      <sz val="11"/>
      <color rgb="FFFF0000"/>
      <name val="游ゴシック"/>
      <family val="3"/>
      <charset val="128"/>
      <scheme val="minor"/>
    </font>
    <font>
      <b/>
      <sz val="14"/>
      <color theme="0"/>
      <name val="游ゴシック"/>
      <family val="2"/>
      <scheme val="minor"/>
    </font>
    <font>
      <b/>
      <sz val="14"/>
      <color theme="0"/>
      <name val="游ゴシック"/>
      <family val="3"/>
      <charset val="128"/>
      <scheme val="minor"/>
    </font>
    <font>
      <sz val="14"/>
      <color theme="0"/>
      <name val="Segoe UI Symbol"/>
      <family val="2"/>
    </font>
    <font>
      <b/>
      <sz val="14"/>
      <color theme="0"/>
      <name val="游ゴシック"/>
      <family val="2"/>
      <charset val="128"/>
    </font>
    <font>
      <sz val="11"/>
      <color theme="0"/>
      <name val="游ゴシック"/>
      <family val="2"/>
      <scheme val="minor"/>
    </font>
    <font>
      <b/>
      <sz val="16"/>
      <color theme="1"/>
      <name val="游ゴシック"/>
      <family val="3"/>
      <charset val="128"/>
      <scheme val="minor"/>
    </font>
    <font>
      <b/>
      <sz val="16"/>
      <color rgb="FFFF0000"/>
      <name val="游ゴシック"/>
      <family val="3"/>
      <charset val="128"/>
      <scheme val="minor"/>
    </font>
    <font>
      <b/>
      <sz val="11"/>
      <color theme="1" tint="4.9989318521683403E-2"/>
      <name val="游ゴシック"/>
      <family val="3"/>
      <charset val="128"/>
      <scheme val="minor"/>
    </font>
    <font>
      <b/>
      <sz val="16"/>
      <color theme="1"/>
      <name val="Segoe UI Symbol"/>
      <family val="3"/>
    </font>
    <font>
      <b/>
      <sz val="18"/>
      <color rgb="FFFF0000"/>
      <name val="游ゴシック"/>
      <family val="3"/>
      <charset val="128"/>
      <scheme val="minor"/>
    </font>
    <font>
      <b/>
      <sz val="18"/>
      <color theme="0"/>
      <name val="游ゴシック"/>
      <family val="3"/>
      <charset val="128"/>
      <scheme val="minor"/>
    </font>
    <font>
      <sz val="11"/>
      <color theme="1"/>
      <name val="ＭＳ 明朝"/>
      <family val="1"/>
      <charset val="128"/>
    </font>
    <font>
      <sz val="11"/>
      <color theme="0"/>
      <name val="Segoe UI Symbol"/>
      <family val="2"/>
    </font>
    <font>
      <sz val="11"/>
      <color theme="0"/>
      <name val="游ゴシック"/>
      <family val="3"/>
      <charset val="128"/>
      <scheme val="minor"/>
    </font>
    <font>
      <sz val="14"/>
      <color theme="1"/>
      <name val="Segoe UI Symbol"/>
      <family val="2"/>
    </font>
    <font>
      <sz val="8"/>
      <color rgb="FF000000"/>
      <name val="Consolas"/>
      <family val="3"/>
    </font>
    <font>
      <sz val="8"/>
      <color rgb="FFA31515"/>
      <name val="Consolas"/>
      <family val="3"/>
    </font>
    <font>
      <sz val="8"/>
      <color rgb="FFA31515"/>
      <name val="Consolas"/>
      <family val="1"/>
      <charset val="128"/>
    </font>
    <font>
      <sz val="8"/>
      <color rgb="FFA31515"/>
      <name val="ＭＳ 明朝"/>
      <family val="1"/>
      <charset val="128"/>
    </font>
    <font>
      <sz val="8"/>
      <color rgb="FFA31515"/>
      <name val="Meiryo UI"/>
      <family val="3"/>
      <charset val="128"/>
    </font>
    <font>
      <sz val="8"/>
      <color rgb="FF0000FF"/>
      <name val="Consolas"/>
      <family val="3"/>
    </font>
    <font>
      <b/>
      <sz val="18"/>
      <color theme="1"/>
      <name val="游ゴシック"/>
      <family val="3"/>
      <charset val="128"/>
      <scheme val="minor"/>
    </font>
    <font>
      <sz val="11"/>
      <color theme="1"/>
      <name val="Calibri"/>
      <family val="2"/>
    </font>
    <font>
      <sz val="11"/>
      <color theme="1"/>
      <name val="游ゴシック"/>
      <family val="2"/>
    </font>
  </fonts>
  <fills count="16">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bgColor indexed="64"/>
      </patternFill>
    </fill>
    <fill>
      <patternFill patternType="solid">
        <fgColor rgb="FFFF0000"/>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6" tint="0.79998168889431442"/>
        <bgColor indexed="64"/>
      </patternFill>
    </fill>
    <fill>
      <patternFill patternType="solid">
        <fgColor rgb="FF0070C0"/>
        <bgColor indexed="64"/>
      </patternFill>
    </fill>
    <fill>
      <patternFill patternType="solid">
        <fgColor theme="1" tint="0.499984740745262"/>
        <bgColor indexed="64"/>
      </patternFill>
    </fill>
    <fill>
      <patternFill patternType="solid">
        <fgColor theme="8" tint="0.79998168889431442"/>
        <bgColor indexed="64"/>
      </patternFill>
    </fill>
    <fill>
      <patternFill patternType="solid">
        <fgColor rgb="FF00B050"/>
        <bgColor indexed="64"/>
      </patternFill>
    </fill>
  </fills>
  <borders count="2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diagonal/>
    </border>
    <border>
      <left style="thin">
        <color indexed="64"/>
      </left>
      <right/>
      <top/>
      <bottom style="medium">
        <color indexed="64"/>
      </bottom>
      <diagonal/>
    </border>
    <border>
      <left style="medium">
        <color indexed="64"/>
      </left>
      <right/>
      <top style="thin">
        <color indexed="64"/>
      </top>
      <bottom/>
      <diagonal/>
    </border>
    <border>
      <left/>
      <right/>
      <top style="thin">
        <color indexed="64"/>
      </top>
      <bottom/>
      <diagonal/>
    </border>
  </borders>
  <cellStyleXfs count="2">
    <xf numFmtId="0" fontId="0" fillId="0" borderId="0"/>
    <xf numFmtId="0" fontId="5" fillId="0" borderId="0" applyNumberFormat="0" applyFill="0" applyBorder="0" applyAlignment="0" applyProtection="0"/>
  </cellStyleXfs>
  <cellXfs count="118">
    <xf numFmtId="0" fontId="0" fillId="0" borderId="0" xfId="0"/>
    <xf numFmtId="0" fontId="0" fillId="0" borderId="0" xfId="0" applyAlignment="1">
      <alignment wrapText="1"/>
    </xf>
    <xf numFmtId="0" fontId="0" fillId="0" borderId="0" xfId="0" applyAlignment="1">
      <alignment horizontal="center"/>
    </xf>
    <xf numFmtId="0" fontId="5" fillId="0" borderId="0" xfId="1"/>
    <xf numFmtId="0" fontId="4" fillId="0" borderId="0" xfId="0" applyFont="1" applyAlignment="1">
      <alignment horizontal="center"/>
    </xf>
    <xf numFmtId="0" fontId="0" fillId="4" borderId="0" xfId="0" applyFill="1" applyAlignment="1">
      <alignment horizontal="center" vertical="top"/>
    </xf>
    <xf numFmtId="0" fontId="0" fillId="0" borderId="0" xfId="0" applyAlignment="1">
      <alignment horizontal="center" vertical="top"/>
    </xf>
    <xf numFmtId="0" fontId="0" fillId="5" borderId="5" xfId="0" applyFill="1" applyBorder="1" applyAlignment="1">
      <alignment horizontal="center" vertical="top"/>
    </xf>
    <xf numFmtId="0" fontId="0" fillId="5" borderId="6" xfId="0" applyFill="1" applyBorder="1" applyAlignment="1">
      <alignment horizontal="center" vertical="top"/>
    </xf>
    <xf numFmtId="0" fontId="9" fillId="5" borderId="4" xfId="0" applyFont="1" applyFill="1" applyBorder="1" applyAlignment="1">
      <alignment horizontal="center" vertical="top"/>
    </xf>
    <xf numFmtId="0" fontId="8" fillId="0" borderId="0" xfId="0" applyFont="1" applyAlignment="1">
      <alignment horizontal="center" vertical="top"/>
    </xf>
    <xf numFmtId="0" fontId="8" fillId="3" borderId="8" xfId="0" applyFont="1" applyFill="1" applyBorder="1" applyAlignment="1">
      <alignment horizontal="center" vertical="top"/>
    </xf>
    <xf numFmtId="0" fontId="8" fillId="3" borderId="1" xfId="0" applyFont="1" applyFill="1" applyBorder="1" applyAlignment="1">
      <alignment horizontal="center" vertical="top"/>
    </xf>
    <xf numFmtId="0" fontId="8" fillId="3" borderId="2" xfId="0" applyFont="1" applyFill="1" applyBorder="1" applyAlignment="1">
      <alignment horizontal="center" vertical="top"/>
    </xf>
    <xf numFmtId="0" fontId="8" fillId="3" borderId="3" xfId="0" applyFont="1" applyFill="1" applyBorder="1" applyAlignment="1">
      <alignment horizontal="center" vertical="top"/>
    </xf>
    <xf numFmtId="0" fontId="0" fillId="0" borderId="7" xfId="0" applyBorder="1" applyAlignment="1">
      <alignment horizontal="center" vertical="top"/>
    </xf>
    <xf numFmtId="0" fontId="8" fillId="6" borderId="8" xfId="0" applyFont="1" applyFill="1" applyBorder="1" applyAlignment="1">
      <alignment horizontal="center" vertical="top"/>
    </xf>
    <xf numFmtId="0" fontId="8" fillId="6" borderId="1" xfId="0" applyFont="1" applyFill="1" applyBorder="1" applyAlignment="1">
      <alignment horizontal="center" vertical="top"/>
    </xf>
    <xf numFmtId="0" fontId="8" fillId="6" borderId="2" xfId="0" applyFont="1" applyFill="1" applyBorder="1" applyAlignment="1">
      <alignment horizontal="center" vertical="top"/>
    </xf>
    <xf numFmtId="0" fontId="8" fillId="6" borderId="3" xfId="0" applyFont="1" applyFill="1" applyBorder="1" applyAlignment="1">
      <alignment horizontal="center" vertical="top"/>
    </xf>
    <xf numFmtId="0" fontId="0" fillId="0" borderId="0" xfId="0" applyAlignment="1">
      <alignment horizontal="center" vertical="top" wrapText="1"/>
    </xf>
    <xf numFmtId="0" fontId="8" fillId="3" borderId="7" xfId="0" applyFont="1" applyFill="1" applyBorder="1" applyAlignment="1">
      <alignment horizontal="center" vertical="top"/>
    </xf>
    <xf numFmtId="0" fontId="12" fillId="4" borderId="9" xfId="0" applyFont="1" applyFill="1" applyBorder="1" applyAlignment="1">
      <alignment horizontal="center" vertical="top"/>
    </xf>
    <xf numFmtId="0" fontId="13" fillId="4" borderId="0" xfId="0" applyFont="1" applyFill="1" applyAlignment="1">
      <alignment horizontal="center" vertical="top"/>
    </xf>
    <xf numFmtId="0" fontId="13" fillId="4" borderId="10" xfId="0" applyFont="1" applyFill="1" applyBorder="1" applyAlignment="1">
      <alignment horizontal="center" vertical="top"/>
    </xf>
    <xf numFmtId="0" fontId="11" fillId="3" borderId="7"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0" fillId="4" borderId="7" xfId="0" applyFill="1" applyBorder="1"/>
    <xf numFmtId="0" fontId="0" fillId="4" borderId="7" xfId="0" applyFill="1" applyBorder="1" applyAlignment="1">
      <alignment wrapText="1"/>
    </xf>
    <xf numFmtId="0" fontId="2" fillId="4" borderId="7" xfId="0" applyFont="1" applyFill="1" applyBorder="1" applyAlignment="1">
      <alignment horizontal="center"/>
    </xf>
    <xf numFmtId="0" fontId="0" fillId="10" borderId="7" xfId="0" applyFill="1" applyBorder="1" applyAlignment="1">
      <alignment horizontal="center"/>
    </xf>
    <xf numFmtId="0" fontId="0" fillId="10" borderId="7" xfId="0" applyFill="1" applyBorder="1" applyAlignment="1">
      <alignment horizontal="center" wrapText="1"/>
    </xf>
    <xf numFmtId="0" fontId="2" fillId="10" borderId="7" xfId="0" applyFont="1" applyFill="1" applyBorder="1" applyAlignment="1">
      <alignment horizontal="center"/>
    </xf>
    <xf numFmtId="0" fontId="7" fillId="10" borderId="7" xfId="0" applyFont="1" applyFill="1" applyBorder="1" applyAlignment="1">
      <alignment horizontal="center" vertical="center"/>
    </xf>
    <xf numFmtId="0" fontId="0" fillId="10" borderId="7" xfId="0" applyFill="1" applyBorder="1"/>
    <xf numFmtId="0" fontId="0" fillId="10" borderId="7" xfId="0" applyFill="1" applyBorder="1" applyAlignment="1">
      <alignment wrapText="1"/>
    </xf>
    <xf numFmtId="0" fontId="3" fillId="10" borderId="7" xfId="0" applyFont="1" applyFill="1" applyBorder="1"/>
    <xf numFmtId="0" fontId="0" fillId="8" borderId="7" xfId="0" applyFill="1" applyBorder="1"/>
    <xf numFmtId="0" fontId="0" fillId="8" borderId="7" xfId="0" applyFill="1" applyBorder="1" applyAlignment="1">
      <alignment wrapText="1"/>
    </xf>
    <xf numFmtId="0" fontId="2" fillId="8" borderId="7" xfId="0" applyFont="1" applyFill="1" applyBorder="1" applyAlignment="1">
      <alignment horizontal="center"/>
    </xf>
    <xf numFmtId="0" fontId="0" fillId="10" borderId="0" xfId="0" applyFill="1" applyAlignment="1">
      <alignment horizontal="center" vertical="top"/>
    </xf>
    <xf numFmtId="0" fontId="0" fillId="7" borderId="0" xfId="0" applyFill="1" applyAlignment="1">
      <alignment horizontal="center" vertical="top"/>
    </xf>
    <xf numFmtId="0" fontId="0" fillId="2" borderId="7" xfId="0" applyFill="1" applyBorder="1" applyAlignment="1">
      <alignment horizontal="center" vertical="top"/>
    </xf>
    <xf numFmtId="0" fontId="0" fillId="4" borderId="7" xfId="0" applyFill="1" applyBorder="1" applyAlignment="1">
      <alignment horizontal="center" vertical="top"/>
    </xf>
    <xf numFmtId="0" fontId="0" fillId="11" borderId="7" xfId="0" applyFill="1" applyBorder="1" applyAlignment="1">
      <alignment horizontal="center" vertical="top"/>
    </xf>
    <xf numFmtId="0" fontId="0" fillId="7" borderId="7" xfId="0" applyFill="1" applyBorder="1" applyAlignment="1">
      <alignment horizontal="center" vertical="top"/>
    </xf>
    <xf numFmtId="0" fontId="8" fillId="4" borderId="7" xfId="0" applyFont="1" applyFill="1" applyBorder="1" applyAlignment="1">
      <alignment horizontal="center" vertical="top"/>
    </xf>
    <xf numFmtId="0" fontId="18" fillId="12" borderId="7" xfId="0" applyFont="1" applyFill="1" applyBorder="1" applyAlignment="1">
      <alignment horizontal="center" vertical="top"/>
    </xf>
    <xf numFmtId="0" fontId="7" fillId="4" borderId="7" xfId="0" applyFont="1" applyFill="1" applyBorder="1" applyAlignment="1">
      <alignment horizontal="center" vertical="top"/>
    </xf>
    <xf numFmtId="0" fontId="7" fillId="10" borderId="0" xfId="0" applyFont="1" applyFill="1" applyAlignment="1">
      <alignment horizontal="center" vertical="top"/>
    </xf>
    <xf numFmtId="0" fontId="7" fillId="0" borderId="0" xfId="0" applyFont="1" applyAlignment="1">
      <alignment horizontal="center" vertical="top"/>
    </xf>
    <xf numFmtId="0" fontId="0" fillId="12" borderId="11" xfId="0" applyFill="1" applyBorder="1" applyAlignment="1">
      <alignment horizontal="center" vertical="top"/>
    </xf>
    <xf numFmtId="0" fontId="7" fillId="12" borderId="0" xfId="0" applyFont="1" applyFill="1" applyAlignment="1">
      <alignment horizontal="center" vertical="top"/>
    </xf>
    <xf numFmtId="0" fontId="0" fillId="4" borderId="12" xfId="0" applyFill="1" applyBorder="1" applyAlignment="1">
      <alignment horizontal="center" vertical="top"/>
    </xf>
    <xf numFmtId="0" fontId="18" fillId="0" borderId="0" xfId="0" applyFont="1" applyAlignment="1">
      <alignment horizontal="center" vertical="top"/>
    </xf>
    <xf numFmtId="0" fontId="12" fillId="0" borderId="0" xfId="0" applyFont="1" applyAlignment="1">
      <alignment horizontal="center" vertical="top"/>
    </xf>
    <xf numFmtId="0" fontId="0" fillId="0" borderId="7" xfId="0" applyBorder="1" applyAlignment="1">
      <alignment horizontal="center"/>
    </xf>
    <xf numFmtId="0" fontId="8" fillId="0" borderId="0" xfId="0" applyFont="1"/>
    <xf numFmtId="0" fontId="21" fillId="2" borderId="7" xfId="0" applyFont="1" applyFill="1" applyBorder="1" applyAlignment="1">
      <alignment horizontal="center"/>
    </xf>
    <xf numFmtId="0" fontId="9" fillId="5" borderId="7" xfId="0" applyFont="1" applyFill="1" applyBorder="1" applyAlignment="1">
      <alignment horizontal="center" vertical="top"/>
    </xf>
    <xf numFmtId="0" fontId="0" fillId="5" borderId="7" xfId="0" applyFill="1" applyBorder="1" applyAlignment="1">
      <alignment horizontal="center" vertical="top"/>
    </xf>
    <xf numFmtId="0" fontId="24" fillId="13" borderId="7" xfId="0" applyFont="1" applyFill="1" applyBorder="1" applyAlignment="1">
      <alignment horizontal="center" vertical="top"/>
    </xf>
    <xf numFmtId="0" fontId="0" fillId="11" borderId="11" xfId="0" applyFill="1" applyBorder="1" applyAlignment="1">
      <alignment horizontal="center" vertical="top"/>
    </xf>
    <xf numFmtId="0" fontId="0" fillId="11" borderId="12" xfId="0" applyFill="1" applyBorder="1" applyAlignment="1">
      <alignment horizontal="center" vertical="top"/>
    </xf>
    <xf numFmtId="0" fontId="0" fillId="2" borderId="11" xfId="0" applyFill="1" applyBorder="1" applyAlignment="1">
      <alignment horizontal="center" vertical="top"/>
    </xf>
    <xf numFmtId="0" fontId="0" fillId="2" borderId="12" xfId="0" applyFill="1" applyBorder="1" applyAlignment="1">
      <alignment horizontal="center" vertical="top"/>
    </xf>
    <xf numFmtId="0" fontId="25" fillId="0" borderId="0" xfId="0" applyFont="1" applyAlignment="1">
      <alignment horizontal="center" vertical="center"/>
    </xf>
    <xf numFmtId="0" fontId="7" fillId="4" borderId="0" xfId="0" applyFont="1" applyFill="1" applyAlignment="1">
      <alignment horizontal="center" vertical="top"/>
    </xf>
    <xf numFmtId="0" fontId="0" fillId="12" borderId="7" xfId="0" applyFill="1" applyBorder="1" applyAlignment="1">
      <alignment horizontal="center" vertical="top"/>
    </xf>
    <xf numFmtId="0" fontId="0" fillId="4" borderId="11" xfId="0" applyFill="1" applyBorder="1" applyAlignment="1">
      <alignment horizontal="center" vertical="top"/>
    </xf>
    <xf numFmtId="0" fontId="12" fillId="11" borderId="12" xfId="0" applyFont="1" applyFill="1" applyBorder="1" applyAlignment="1">
      <alignment horizontal="center" vertical="top"/>
    </xf>
    <xf numFmtId="0" fontId="14" fillId="9" borderId="7" xfId="0" applyFont="1" applyFill="1" applyBorder="1" applyAlignment="1">
      <alignment horizontal="center"/>
    </xf>
    <xf numFmtId="0" fontId="5" fillId="0" borderId="7" xfId="1" applyBorder="1" applyAlignment="1">
      <alignment horizontal="center"/>
    </xf>
    <xf numFmtId="0" fontId="0" fillId="0" borderId="7" xfId="0" applyBorder="1" applyAlignment="1">
      <alignment horizontal="center" wrapText="1"/>
    </xf>
    <xf numFmtId="0" fontId="7" fillId="0" borderId="0" xfId="1" applyFont="1" applyFill="1" applyAlignment="1">
      <alignment horizontal="center"/>
    </xf>
    <xf numFmtId="0" fontId="7" fillId="0" borderId="7" xfId="1" applyFont="1" applyBorder="1" applyAlignment="1">
      <alignment horizontal="center"/>
    </xf>
    <xf numFmtId="0" fontId="8" fillId="15" borderId="0" xfId="0" applyFont="1" applyFill="1" applyAlignment="1">
      <alignment horizontal="center" vertical="center"/>
    </xf>
    <xf numFmtId="0" fontId="0" fillId="0" borderId="16" xfId="0" applyBorder="1" applyAlignment="1">
      <alignment horizontal="center"/>
    </xf>
    <xf numFmtId="0" fontId="5" fillId="0" borderId="16" xfId="1" applyBorder="1" applyAlignment="1">
      <alignment horizontal="center"/>
    </xf>
    <xf numFmtId="56" fontId="0" fillId="0" borderId="0" xfId="0" applyNumberFormat="1"/>
    <xf numFmtId="0" fontId="27" fillId="12" borderId="7" xfId="0" applyFont="1" applyFill="1" applyBorder="1" applyAlignment="1">
      <alignment horizontal="center" vertical="top"/>
    </xf>
    <xf numFmtId="0" fontId="18" fillId="12" borderId="0" xfId="0" applyFont="1" applyFill="1" applyAlignment="1">
      <alignment horizontal="center" vertical="top"/>
    </xf>
    <xf numFmtId="0" fontId="27" fillId="12" borderId="0" xfId="0" applyFont="1" applyFill="1" applyAlignment="1">
      <alignment horizontal="center" vertical="top"/>
    </xf>
    <xf numFmtId="0" fontId="0" fillId="2" borderId="0" xfId="0" applyFill="1" applyAlignment="1">
      <alignment horizontal="center" vertical="top"/>
    </xf>
    <xf numFmtId="0" fontId="28" fillId="0" borderId="7" xfId="0" applyFont="1" applyBorder="1" applyAlignment="1">
      <alignment horizontal="center"/>
    </xf>
    <xf numFmtId="0" fontId="0" fillId="0" borderId="9" xfId="0" applyBorder="1"/>
    <xf numFmtId="0" fontId="0" fillId="0" borderId="23" xfId="0" applyBorder="1"/>
    <xf numFmtId="0" fontId="0" fillId="0" borderId="10" xfId="0" applyBorder="1"/>
    <xf numFmtId="0" fontId="29" fillId="0" borderId="0" xfId="0" applyFont="1" applyAlignment="1">
      <alignment vertical="center"/>
    </xf>
    <xf numFmtId="0" fontId="31" fillId="0" borderId="0" xfId="0" applyFont="1" applyAlignment="1">
      <alignment vertical="center"/>
    </xf>
    <xf numFmtId="0" fontId="34" fillId="0" borderId="0" xfId="0" applyFont="1" applyAlignment="1">
      <alignment vertical="center"/>
    </xf>
    <xf numFmtId="0" fontId="0" fillId="0" borderId="4" xfId="0" applyBorder="1"/>
    <xf numFmtId="0" fontId="0" fillId="0" borderId="5" xfId="0" applyBorder="1"/>
    <xf numFmtId="0" fontId="0" fillId="0" borderId="24" xfId="0" applyBorder="1"/>
    <xf numFmtId="0" fontId="0" fillId="0" borderId="6" xfId="0" applyBorder="1"/>
    <xf numFmtId="0" fontId="0" fillId="0" borderId="25" xfId="0" applyBorder="1" applyAlignment="1">
      <alignment horizontal="center"/>
    </xf>
    <xf numFmtId="0" fontId="0" fillId="0" borderId="26" xfId="0" applyBorder="1" applyAlignment="1">
      <alignment horizontal="center"/>
    </xf>
    <xf numFmtId="0" fontId="0" fillId="0" borderId="14" xfId="0" applyBorder="1" applyAlignment="1">
      <alignment horizontal="center"/>
    </xf>
    <xf numFmtId="0" fontId="37" fillId="0" borderId="9" xfId="0" applyFont="1" applyBorder="1" applyAlignment="1">
      <alignment horizontal="center"/>
    </xf>
    <xf numFmtId="0" fontId="0" fillId="0" borderId="0" xfId="0" applyAlignment="1">
      <alignment horizontal="center"/>
    </xf>
    <xf numFmtId="0" fontId="0" fillId="0" borderId="17" xfId="0" applyBorder="1" applyAlignment="1">
      <alignment horizontal="center"/>
    </xf>
    <xf numFmtId="0" fontId="0" fillId="0" borderId="21" xfId="0"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center"/>
    </xf>
    <xf numFmtId="0" fontId="0" fillId="0" borderId="22" xfId="0" applyBorder="1" applyAlignment="1">
      <alignment horizontal="center"/>
    </xf>
    <xf numFmtId="0" fontId="0" fillId="0" borderId="21" xfId="0" applyBorder="1" applyAlignment="1">
      <alignment horizontal="center"/>
    </xf>
    <xf numFmtId="0" fontId="0" fillId="0" borderId="15" xfId="0" applyBorder="1" applyAlignment="1">
      <alignment horizontal="center"/>
    </xf>
    <xf numFmtId="0" fontId="35" fillId="0" borderId="0" xfId="0" applyFont="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9" fillId="12" borderId="13" xfId="0" applyFont="1" applyFill="1" applyBorder="1" applyAlignment="1">
      <alignment horizontal="center" vertical="top"/>
    </xf>
    <xf numFmtId="0" fontId="9" fillId="12" borderId="14" xfId="0" applyFont="1" applyFill="1" applyBorder="1" applyAlignment="1">
      <alignment horizontal="center" vertical="top"/>
    </xf>
    <xf numFmtId="0" fontId="23" fillId="0" borderId="0" xfId="0" applyFont="1" applyAlignment="1">
      <alignment horizontal="center" vertical="top"/>
    </xf>
    <xf numFmtId="0" fontId="19" fillId="14" borderId="7" xfId="0" applyFont="1" applyFill="1" applyBorder="1" applyAlignment="1">
      <alignment horizontal="center" vertical="top"/>
    </xf>
    <xf numFmtId="0" fontId="0" fillId="14" borderId="7" xfId="0" applyFill="1" applyBorder="1" applyAlignment="1">
      <alignment horizontal="center" vertical="top"/>
    </xf>
    <xf numFmtId="0" fontId="20" fillId="0" borderId="7" xfId="0" applyFont="1" applyBorder="1" applyAlignment="1">
      <alignment horizontal="center" vertical="top"/>
    </xf>
    <xf numFmtId="0" fontId="9" fillId="12" borderId="7" xfId="0" applyFont="1" applyFill="1" applyBorder="1" applyAlignment="1">
      <alignment horizontal="center" vertical="top"/>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localhost:5000/to_kotatsu&#12288;400%20&#12456;&#12521;&#12540;" TargetMode="External"/><Relationship Id="rId1" Type="http://schemas.openxmlformats.org/officeDocument/2006/relationships/hyperlink" Target="http://localhost:5000/to_flow_rack&#12288;400%20&#12456;&#12521;&#1254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hyperlink" Target="http://localhost:5000/depall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4"/>
  <sheetViews>
    <sheetView tabSelected="1" topLeftCell="B6" zoomScaleNormal="100" workbookViewId="0">
      <selection activeCell="E13" sqref="E13"/>
    </sheetView>
  </sheetViews>
  <sheetFormatPr defaultRowHeight="18" x14ac:dyDescent="0.45"/>
  <cols>
    <col min="1" max="1" width="23.19921875" customWidth="1"/>
    <col min="2" max="2" width="55.5" customWidth="1"/>
    <col min="3" max="3" width="22.796875" style="2" customWidth="1"/>
    <col min="4" max="4" width="39" customWidth="1"/>
    <col min="5" max="5" width="51.09765625" customWidth="1"/>
  </cols>
  <sheetData>
    <row r="1" spans="1:5" s="71" customFormat="1" ht="31.2" x14ac:dyDescent="0.55000000000000004">
      <c r="A1" s="71" t="s" ph="1">
        <v>154</v>
      </c>
      <c r="B1" s="71" t="s" ph="1">
        <v>5</v>
      </c>
      <c r="C1" s="71" t="s" ph="1">
        <v>89</v>
      </c>
      <c r="D1" s="71" t="s" ph="1">
        <v>6</v>
      </c>
      <c r="E1" s="71" t="s" ph="1">
        <v>4</v>
      </c>
    </row>
    <row r="2" spans="1:5" s="30" customFormat="1" ht="409.6" ph="1" x14ac:dyDescent="0.45">
      <c r="A2" s="30" t="s" ph="1">
        <v>153</v>
      </c>
      <c r="B2" s="31" t="s" ph="1">
        <v>29</v>
      </c>
      <c r="C2" s="32" t="s" ph="1">
        <v>19</v>
      </c>
      <c r="D2" s="30" t="s" ph="1">
        <v>7</v>
      </c>
      <c r="E2" s="33" t="s" ph="1">
        <v>26</v>
      </c>
    </row>
    <row r="3" spans="1:5" s="34" customFormat="1" ht="222" customHeight="1" x14ac:dyDescent="0.45">
      <c r="A3" s="34" ph="1"/>
      <c r="B3" s="35" t="s" ph="1">
        <v>27</v>
      </c>
      <c r="C3" s="32" t="s" ph="1">
        <v>18</v>
      </c>
      <c r="D3" s="34" t="s" ph="1">
        <v>8</v>
      </c>
      <c r="E3" s="35" t="s" ph="1">
        <v>10</v>
      </c>
    </row>
    <row r="4" spans="1:5" s="34" customFormat="1" ht="27" x14ac:dyDescent="0.45">
      <c r="A4" s="34" ph="1"/>
      <c r="B4" s="34" t="s" ph="1">
        <v>9</v>
      </c>
      <c r="C4" s="32" t="s" ph="1">
        <v>18</v>
      </c>
      <c r="D4" s="36" ph="1"/>
      <c r="E4" s="34" ph="1"/>
    </row>
    <row r="5" spans="1:5" s="37" customFormat="1" ht="108" ph="1" x14ac:dyDescent="0.45">
      <c r="B5" s="38" t="s" ph="1">
        <v>28</v>
      </c>
      <c r="C5" s="39" t="s" ph="1">
        <v>13</v>
      </c>
      <c r="D5" s="37" t="s" ph="1">
        <v>30</v>
      </c>
    </row>
    <row r="6" spans="1:5" s="27" customFormat="1" ht="27" ph="1" x14ac:dyDescent="0.45">
      <c r="B6" s="28" ph="1"/>
      <c r="C6" s="29" ph="1"/>
    </row>
    <row r="7" spans="1:5" ht="27" x14ac:dyDescent="0.45">
      <c r="A7" ph="1"/>
      <c r="B7" s="3" t="s" ph="1">
        <v>14</v>
      </c>
      <c r="C7" s="4" t="s" ph="1">
        <v>16</v>
      </c>
      <c r="D7" t="s" ph="1">
        <v>12</v>
      </c>
      <c r="E7" ph="1"/>
    </row>
    <row r="8" spans="1:5" ht="27" x14ac:dyDescent="0.45">
      <c r="A8" ph="1"/>
      <c r="B8" s="3" t="s" ph="1">
        <v>15</v>
      </c>
      <c r="C8" s="4" t="s" ph="1">
        <v>16</v>
      </c>
      <c r="D8" t="s" ph="1">
        <v>11</v>
      </c>
      <c r="E8" ph="1"/>
    </row>
    <row r="9" spans="1:5" ht="27" x14ac:dyDescent="0.45">
      <c r="A9" ph="1"/>
      <c r="B9" t="s" ph="1">
        <v>24</v>
      </c>
      <c r="C9" s="2" t="s" ph="1">
        <v>164</v>
      </c>
      <c r="D9" t="s" ph="1">
        <v>25</v>
      </c>
      <c r="E9" ph="1"/>
    </row>
    <row r="10" spans="1:5" x14ac:dyDescent="0.45">
      <c r="B10" t="s">
        <v>181</v>
      </c>
      <c r="C10" s="2" t="s">
        <v>164</v>
      </c>
    </row>
    <row r="11" spans="1:5" x14ac:dyDescent="0.45">
      <c r="B11" t="s">
        <v>182</v>
      </c>
      <c r="C11" s="2" t="s">
        <v>282</v>
      </c>
      <c r="D11" s="99" t="s">
        <v>283</v>
      </c>
      <c r="E11" s="99"/>
    </row>
    <row r="12" spans="1:5" x14ac:dyDescent="0.45">
      <c r="B12" t="s">
        <v>281</v>
      </c>
      <c r="C12" s="2" t="s">
        <v>282</v>
      </c>
    </row>
    <row r="38" spans="1:6" x14ac:dyDescent="0.45">
      <c r="A38" t="s">
        <v>0</v>
      </c>
    </row>
    <row r="39" spans="1:6" x14ac:dyDescent="0.45">
      <c r="A39" t="s">
        <v>1</v>
      </c>
    </row>
    <row r="44" spans="1:6" ht="92.25" customHeight="1" x14ac:dyDescent="0.45">
      <c r="D44" t="s">
        <v>17</v>
      </c>
      <c r="E44" s="1" t="s">
        <v>2</v>
      </c>
      <c r="F44" t="s">
        <v>3</v>
      </c>
    </row>
  </sheetData>
  <mergeCells count="1">
    <mergeCell ref="D11:E11"/>
  </mergeCells>
  <phoneticPr fontId="1"/>
  <hyperlinks>
    <hyperlink ref="B7" r:id="rId1" xr:uid="{AD0AC432-884C-47C5-A353-DF628881C76E}"/>
    <hyperlink ref="B8" r:id="rId2" xr:uid="{C97B4720-27C9-4926-A0A4-D777EC46A3F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8FD8A-60BA-4DAC-B7CA-E9ACEB23C27B}">
  <dimension ref="A1:A30"/>
  <sheetViews>
    <sheetView topLeftCell="A13" workbookViewId="0">
      <selection activeCell="G31" sqref="G31"/>
    </sheetView>
  </sheetViews>
  <sheetFormatPr defaultRowHeight="18" x14ac:dyDescent="0.45"/>
  <sheetData>
    <row r="1" spans="1:1" x14ac:dyDescent="0.45">
      <c r="A1" t="s">
        <v>203</v>
      </c>
    </row>
    <row r="2" spans="1:1" x14ac:dyDescent="0.45">
      <c r="A2" t="s">
        <v>204</v>
      </c>
    </row>
    <row r="3" spans="1:1" x14ac:dyDescent="0.45">
      <c r="A3" t="s">
        <v>205</v>
      </c>
    </row>
    <row r="5" spans="1:1" x14ac:dyDescent="0.45">
      <c r="A5" t="s">
        <v>206</v>
      </c>
    </row>
    <row r="7" spans="1:1" x14ac:dyDescent="0.45">
      <c r="A7" s="79">
        <v>45964</v>
      </c>
    </row>
    <row r="8" spans="1:1" x14ac:dyDescent="0.45">
      <c r="A8" t="s">
        <v>207</v>
      </c>
    </row>
    <row r="10" spans="1:1" x14ac:dyDescent="0.45">
      <c r="A10" s="79">
        <v>45965</v>
      </c>
    </row>
    <row r="11" spans="1:1" x14ac:dyDescent="0.45">
      <c r="A11" t="s">
        <v>208</v>
      </c>
    </row>
    <row r="13" spans="1:1" x14ac:dyDescent="0.45">
      <c r="A13" t="s">
        <v>209</v>
      </c>
    </row>
    <row r="14" spans="1:1" x14ac:dyDescent="0.45">
      <c r="A14" t="s">
        <v>210</v>
      </c>
    </row>
    <row r="16" spans="1:1" x14ac:dyDescent="0.45">
      <c r="A16" t="s">
        <v>211</v>
      </c>
    </row>
    <row r="18" spans="1:1" x14ac:dyDescent="0.45">
      <c r="A18" t="s">
        <v>212</v>
      </c>
    </row>
    <row r="20" spans="1:1" x14ac:dyDescent="0.45">
      <c r="A20" t="s">
        <v>213</v>
      </c>
    </row>
    <row r="21" spans="1:1" x14ac:dyDescent="0.45">
      <c r="A21" t="s">
        <v>214</v>
      </c>
    </row>
    <row r="23" spans="1:1" x14ac:dyDescent="0.45">
      <c r="A23" t="s">
        <v>215</v>
      </c>
    </row>
    <row r="24" spans="1:1" x14ac:dyDescent="0.45">
      <c r="A24" t="s">
        <v>216</v>
      </c>
    </row>
    <row r="26" spans="1:1" x14ac:dyDescent="0.45">
      <c r="A26" t="s">
        <v>217</v>
      </c>
    </row>
    <row r="30" spans="1:1" x14ac:dyDescent="0.45">
      <c r="A30" t="s">
        <v>218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55DEB-EA68-4311-AA25-1884341C82CB}">
  <dimension ref="A1:Y45"/>
  <sheetViews>
    <sheetView topLeftCell="A4" workbookViewId="0">
      <selection activeCell="H6" sqref="H6:Y7"/>
    </sheetView>
  </sheetViews>
  <sheetFormatPr defaultRowHeight="18" x14ac:dyDescent="0.45"/>
  <sheetData>
    <row r="1" spans="1:25" x14ac:dyDescent="0.45">
      <c r="E1" s="107" t="s">
        <v>278</v>
      </c>
      <c r="F1" s="99"/>
      <c r="G1" s="99"/>
      <c r="H1" s="99"/>
      <c r="I1" s="99"/>
      <c r="J1" s="99"/>
      <c r="K1" s="99"/>
      <c r="L1" s="99"/>
      <c r="M1" s="99"/>
    </row>
    <row r="2" spans="1:25" x14ac:dyDescent="0.45">
      <c r="E2" s="99"/>
      <c r="F2" s="99"/>
      <c r="G2" s="99"/>
      <c r="H2" s="99"/>
      <c r="I2" s="99"/>
      <c r="J2" s="99"/>
      <c r="K2" s="99"/>
      <c r="L2" s="99"/>
      <c r="M2" s="99"/>
    </row>
    <row r="3" spans="1:25" x14ac:dyDescent="0.45">
      <c r="A3" t="s">
        <v>226</v>
      </c>
    </row>
    <row r="4" spans="1:25" ht="18.600000000000001" thickBot="1" x14ac:dyDescent="0.5"/>
    <row r="5" spans="1:25" x14ac:dyDescent="0.45">
      <c r="A5" s="108" t="s">
        <v>227</v>
      </c>
      <c r="B5" s="109"/>
      <c r="C5" s="109"/>
      <c r="D5" s="109"/>
      <c r="E5" s="109"/>
      <c r="F5" s="109"/>
      <c r="G5" s="109"/>
      <c r="H5" s="109" t="s">
        <v>228</v>
      </c>
      <c r="I5" s="109"/>
      <c r="J5" s="109"/>
      <c r="K5" s="109"/>
      <c r="L5" s="109"/>
      <c r="M5" s="109"/>
      <c r="N5" s="109"/>
      <c r="O5" s="109"/>
      <c r="P5" s="109"/>
      <c r="Q5" s="109"/>
      <c r="R5" s="109"/>
      <c r="S5" s="109"/>
      <c r="T5" s="109"/>
      <c r="U5" s="109"/>
      <c r="V5" s="109"/>
      <c r="W5" s="109"/>
      <c r="X5" s="109"/>
      <c r="Y5" s="110"/>
    </row>
    <row r="6" spans="1:25" x14ac:dyDescent="0.45">
      <c r="A6" s="105"/>
      <c r="B6" s="103"/>
      <c r="C6" s="103"/>
      <c r="D6" s="103"/>
      <c r="E6" s="103"/>
      <c r="F6" s="103"/>
      <c r="G6" s="103"/>
      <c r="H6" s="103" t="s">
        <v>229</v>
      </c>
      <c r="I6" s="103"/>
      <c r="J6" s="103"/>
      <c r="K6" s="103"/>
      <c r="L6" s="103"/>
      <c r="M6" s="103"/>
      <c r="N6" s="103"/>
      <c r="O6" s="103"/>
      <c r="P6" s="103"/>
      <c r="Q6" s="103"/>
      <c r="R6" s="103"/>
      <c r="S6" s="103"/>
      <c r="T6" s="103"/>
      <c r="U6" s="103"/>
      <c r="V6" s="103"/>
      <c r="W6" s="103"/>
      <c r="X6" s="103"/>
      <c r="Y6" s="104"/>
    </row>
    <row r="7" spans="1:25" x14ac:dyDescent="0.45">
      <c r="A7" s="105"/>
      <c r="B7" s="103"/>
      <c r="C7" s="103"/>
      <c r="D7" s="103"/>
      <c r="E7" s="103"/>
      <c r="F7" s="103"/>
      <c r="G7" s="103"/>
      <c r="H7" s="103"/>
      <c r="I7" s="103"/>
      <c r="J7" s="103"/>
      <c r="K7" s="103"/>
      <c r="L7" s="103"/>
      <c r="M7" s="103"/>
      <c r="N7" s="103"/>
      <c r="O7" s="103"/>
      <c r="P7" s="103"/>
      <c r="Q7" s="103"/>
      <c r="R7" s="103"/>
      <c r="S7" s="103"/>
      <c r="T7" s="103"/>
      <c r="U7" s="103"/>
      <c r="V7" s="103"/>
      <c r="W7" s="103"/>
      <c r="X7" s="103"/>
      <c r="Y7" s="104"/>
    </row>
    <row r="8" spans="1:25" x14ac:dyDescent="0.45">
      <c r="A8" s="105" t="s">
        <v>230</v>
      </c>
      <c r="B8" s="103"/>
      <c r="C8" s="103"/>
      <c r="D8" s="103"/>
      <c r="E8" s="103"/>
      <c r="F8" s="103"/>
      <c r="G8" s="103" t="s">
        <v>231</v>
      </c>
      <c r="H8" s="103"/>
      <c r="I8" s="103"/>
      <c r="J8" s="103"/>
      <c r="K8" s="103"/>
      <c r="L8" s="103"/>
      <c r="M8" s="103"/>
      <c r="N8" s="103" t="s">
        <v>232</v>
      </c>
      <c r="O8" s="103"/>
      <c r="P8" s="103"/>
      <c r="Q8" s="103"/>
      <c r="R8" s="103"/>
      <c r="S8" s="103"/>
      <c r="T8" s="103"/>
      <c r="U8" s="103"/>
      <c r="V8" s="103"/>
      <c r="W8" s="103"/>
      <c r="X8" s="103"/>
      <c r="Y8" s="104"/>
    </row>
    <row r="9" spans="1:25" x14ac:dyDescent="0.45">
      <c r="A9" s="101" t="s">
        <v>233</v>
      </c>
      <c r="B9" s="102"/>
      <c r="C9" s="102"/>
      <c r="D9" s="102"/>
      <c r="E9" s="102"/>
      <c r="F9" s="102"/>
      <c r="G9" s="103"/>
      <c r="H9" s="103"/>
      <c r="I9" s="103"/>
      <c r="J9" s="103"/>
      <c r="K9" s="103"/>
      <c r="L9" s="103"/>
      <c r="M9" s="103"/>
      <c r="N9" s="103"/>
      <c r="O9" s="103"/>
      <c r="P9" s="103"/>
      <c r="Q9" s="103"/>
      <c r="R9" s="103"/>
      <c r="S9" s="103"/>
      <c r="T9" s="103"/>
      <c r="U9" s="103"/>
      <c r="V9" s="103"/>
      <c r="W9" s="103"/>
      <c r="X9" s="103"/>
      <c r="Y9" s="104"/>
    </row>
    <row r="10" spans="1:25" x14ac:dyDescent="0.45">
      <c r="A10" s="101"/>
      <c r="B10" s="102"/>
      <c r="C10" s="102"/>
      <c r="D10" s="102"/>
      <c r="E10" s="102"/>
      <c r="F10" s="102"/>
      <c r="G10" s="103"/>
      <c r="H10" s="103"/>
      <c r="I10" s="103"/>
      <c r="J10" s="103"/>
      <c r="K10" s="103"/>
      <c r="L10" s="103"/>
      <c r="M10" s="103"/>
      <c r="N10" s="103"/>
      <c r="O10" s="103"/>
      <c r="P10" s="103"/>
      <c r="Q10" s="103"/>
      <c r="R10" s="103"/>
      <c r="S10" s="103"/>
      <c r="T10" s="103"/>
      <c r="U10" s="103"/>
      <c r="V10" s="103"/>
      <c r="W10" s="103"/>
      <c r="X10" s="103"/>
      <c r="Y10" s="104"/>
    </row>
    <row r="11" spans="1:25" x14ac:dyDescent="0.45">
      <c r="A11" s="105" t="s">
        <v>234</v>
      </c>
      <c r="B11" s="103"/>
      <c r="C11" s="103"/>
      <c r="D11" s="103"/>
      <c r="E11" s="103"/>
      <c r="F11" s="103"/>
      <c r="G11" s="103"/>
      <c r="H11" s="103"/>
      <c r="I11" s="103"/>
      <c r="J11" s="103"/>
      <c r="K11" s="103"/>
      <c r="L11" s="106"/>
      <c r="M11" s="103" t="s">
        <v>235</v>
      </c>
      <c r="N11" s="103"/>
      <c r="O11" s="103"/>
      <c r="P11" s="103"/>
      <c r="Q11" s="103"/>
      <c r="R11" s="103"/>
      <c r="S11" s="103"/>
      <c r="T11" s="103"/>
      <c r="U11" s="103"/>
      <c r="V11" s="103"/>
      <c r="W11" s="103"/>
      <c r="X11" s="103"/>
      <c r="Y11" s="104"/>
    </row>
    <row r="12" spans="1:25" x14ac:dyDescent="0.45">
      <c r="A12" s="95" t="s">
        <v>279</v>
      </c>
      <c r="B12" s="96"/>
      <c r="C12" s="96"/>
      <c r="D12" s="96"/>
      <c r="E12" s="96"/>
      <c r="F12" s="96"/>
      <c r="G12" s="96"/>
      <c r="H12" s="96"/>
      <c r="I12" s="96"/>
      <c r="J12" s="96"/>
      <c r="K12" s="96"/>
      <c r="L12" s="97"/>
      <c r="M12" s="86"/>
      <c r="Y12" s="87"/>
    </row>
    <row r="13" spans="1:25" x14ac:dyDescent="0.45">
      <c r="A13" s="98" t="s">
        <v>280</v>
      </c>
      <c r="B13" s="99"/>
      <c r="C13" s="99"/>
      <c r="D13" s="99"/>
      <c r="E13" s="99"/>
      <c r="F13" s="99"/>
      <c r="G13" s="99"/>
      <c r="H13" s="99"/>
      <c r="I13" s="99"/>
      <c r="J13" s="99"/>
      <c r="K13" s="99"/>
      <c r="L13" s="100"/>
      <c r="M13" s="86"/>
      <c r="N13" s="89" t="s">
        <v>236</v>
      </c>
      <c r="Y13" s="87"/>
    </row>
    <row r="14" spans="1:25" x14ac:dyDescent="0.45">
      <c r="A14" s="85"/>
      <c r="B14" s="88"/>
      <c r="M14" s="86"/>
      <c r="N14" t="s">
        <v>237</v>
      </c>
      <c r="Y14" s="87"/>
    </row>
    <row r="15" spans="1:25" x14ac:dyDescent="0.45">
      <c r="A15" s="85"/>
      <c r="B15" s="88" t="s">
        <v>238</v>
      </c>
      <c r="M15" s="86"/>
      <c r="N15" t="s">
        <v>239</v>
      </c>
      <c r="Y15" s="87"/>
    </row>
    <row r="16" spans="1:25" x14ac:dyDescent="0.45">
      <c r="A16" s="85"/>
      <c r="B16" s="88" t="s">
        <v>240</v>
      </c>
      <c r="M16" s="86"/>
      <c r="N16" t="s">
        <v>241</v>
      </c>
      <c r="Y16" s="87"/>
    </row>
    <row r="17" spans="1:25" x14ac:dyDescent="0.45">
      <c r="A17" s="85"/>
      <c r="B17" s="88" t="s">
        <v>242</v>
      </c>
      <c r="M17" s="86"/>
      <c r="N17" t="s">
        <v>243</v>
      </c>
      <c r="Y17" s="87"/>
    </row>
    <row r="18" spans="1:25" x14ac:dyDescent="0.45">
      <c r="A18" s="85"/>
      <c r="B18" s="88" t="s">
        <v>244</v>
      </c>
      <c r="M18" s="86"/>
      <c r="N18" t="s">
        <v>245</v>
      </c>
      <c r="Y18" s="87"/>
    </row>
    <row r="19" spans="1:25" x14ac:dyDescent="0.45">
      <c r="A19" s="85"/>
      <c r="B19" s="88" t="s">
        <v>246</v>
      </c>
      <c r="M19" s="86"/>
      <c r="N19" t="s">
        <v>247</v>
      </c>
      <c r="Y19" s="87"/>
    </row>
    <row r="20" spans="1:25" x14ac:dyDescent="0.45">
      <c r="A20" s="85"/>
      <c r="B20" s="88" t="s">
        <v>248</v>
      </c>
      <c r="M20" s="86"/>
      <c r="N20" t="s">
        <v>249</v>
      </c>
      <c r="Y20" s="87"/>
    </row>
    <row r="21" spans="1:25" x14ac:dyDescent="0.45">
      <c r="A21" s="85"/>
      <c r="C21" s="90" t="s">
        <v>250</v>
      </c>
      <c r="M21" s="86"/>
      <c r="O21" t="s">
        <v>251</v>
      </c>
      <c r="Y21" s="87"/>
    </row>
    <row r="22" spans="1:25" x14ac:dyDescent="0.45">
      <c r="A22" s="85"/>
      <c r="C22" s="90" t="s">
        <v>252</v>
      </c>
      <c r="M22" s="86"/>
      <c r="O22" t="s">
        <v>253</v>
      </c>
      <c r="Y22" s="87"/>
    </row>
    <row r="23" spans="1:25" x14ac:dyDescent="0.45">
      <c r="A23" s="85"/>
      <c r="B23" s="88" t="s">
        <v>254</v>
      </c>
      <c r="M23" s="86"/>
      <c r="N23" t="s">
        <v>255</v>
      </c>
      <c r="Y23" s="87"/>
    </row>
    <row r="24" spans="1:25" x14ac:dyDescent="0.45">
      <c r="A24" s="85"/>
      <c r="B24" s="88" t="s">
        <v>256</v>
      </c>
      <c r="M24" s="86"/>
      <c r="N24" t="s">
        <v>257</v>
      </c>
      <c r="Y24" s="87"/>
    </row>
    <row r="25" spans="1:25" x14ac:dyDescent="0.45">
      <c r="A25" s="85"/>
      <c r="B25" s="88" t="s">
        <v>258</v>
      </c>
      <c r="M25" s="86"/>
      <c r="N25" t="s">
        <v>259</v>
      </c>
      <c r="Y25" s="87"/>
    </row>
    <row r="26" spans="1:25" x14ac:dyDescent="0.45">
      <c r="A26" s="85"/>
      <c r="B26" s="88" t="s">
        <v>260</v>
      </c>
      <c r="M26" s="86"/>
      <c r="N26" t="s">
        <v>261</v>
      </c>
      <c r="Y26" s="87"/>
    </row>
    <row r="27" spans="1:25" x14ac:dyDescent="0.45">
      <c r="A27" s="85"/>
      <c r="B27" s="88" t="s">
        <v>262</v>
      </c>
      <c r="M27" s="86"/>
      <c r="N27" t="s">
        <v>263</v>
      </c>
      <c r="Y27" s="87"/>
    </row>
    <row r="28" spans="1:25" x14ac:dyDescent="0.45">
      <c r="A28" s="85"/>
      <c r="B28" s="88" t="s">
        <v>264</v>
      </c>
      <c r="M28" s="86"/>
      <c r="N28" t="s">
        <v>265</v>
      </c>
      <c r="Y28" s="87"/>
    </row>
    <row r="29" spans="1:25" x14ac:dyDescent="0.45">
      <c r="A29" s="85"/>
      <c r="B29" s="88" t="s">
        <v>266</v>
      </c>
      <c r="M29" s="86"/>
      <c r="N29" t="s">
        <v>267</v>
      </c>
      <c r="Y29" s="87"/>
    </row>
    <row r="30" spans="1:25" x14ac:dyDescent="0.45">
      <c r="A30" s="85"/>
      <c r="B30" s="88" t="s">
        <v>268</v>
      </c>
      <c r="M30" s="86"/>
      <c r="N30" t="s">
        <v>269</v>
      </c>
      <c r="Y30" s="87"/>
    </row>
    <row r="31" spans="1:25" x14ac:dyDescent="0.45">
      <c r="A31" s="85"/>
      <c r="B31" s="88" t="s">
        <v>270</v>
      </c>
      <c r="M31" s="86"/>
      <c r="N31" t="s">
        <v>271</v>
      </c>
      <c r="Y31" s="87"/>
    </row>
    <row r="32" spans="1:25" x14ac:dyDescent="0.45">
      <c r="A32" s="85"/>
      <c r="B32" s="88" t="s">
        <v>272</v>
      </c>
      <c r="M32" s="86"/>
      <c r="N32" t="s">
        <v>273</v>
      </c>
      <c r="Y32" s="87"/>
    </row>
    <row r="33" spans="1:25" x14ac:dyDescent="0.45">
      <c r="A33" s="85"/>
      <c r="B33" s="88" t="s">
        <v>274</v>
      </c>
      <c r="M33" s="86"/>
      <c r="N33" t="s">
        <v>275</v>
      </c>
      <c r="Y33" s="87"/>
    </row>
    <row r="34" spans="1:25" x14ac:dyDescent="0.45">
      <c r="A34" s="85"/>
      <c r="B34" s="88" t="s">
        <v>276</v>
      </c>
      <c r="M34" s="86"/>
      <c r="N34" t="s">
        <v>277</v>
      </c>
      <c r="Y34" s="87"/>
    </row>
    <row r="35" spans="1:25" x14ac:dyDescent="0.45">
      <c r="A35" s="85"/>
      <c r="M35" s="86"/>
      <c r="Y35" s="87"/>
    </row>
    <row r="36" spans="1:25" x14ac:dyDescent="0.45">
      <c r="A36" s="85"/>
      <c r="M36" s="86"/>
      <c r="Y36" s="87"/>
    </row>
    <row r="37" spans="1:25" x14ac:dyDescent="0.45">
      <c r="A37" s="85"/>
      <c r="M37" s="86"/>
      <c r="Y37" s="87"/>
    </row>
    <row r="38" spans="1:25" x14ac:dyDescent="0.45">
      <c r="A38" s="85"/>
      <c r="M38" s="86"/>
      <c r="Y38" s="87"/>
    </row>
    <row r="39" spans="1:25" x14ac:dyDescent="0.45">
      <c r="A39" s="85"/>
      <c r="M39" s="86"/>
      <c r="Y39" s="87"/>
    </row>
    <row r="40" spans="1:25" x14ac:dyDescent="0.45">
      <c r="A40" s="85"/>
      <c r="M40" s="86"/>
      <c r="Y40" s="87"/>
    </row>
    <row r="41" spans="1:25" x14ac:dyDescent="0.45">
      <c r="A41" s="85"/>
      <c r="M41" s="86"/>
      <c r="Y41" s="87"/>
    </row>
    <row r="42" spans="1:25" x14ac:dyDescent="0.45">
      <c r="A42" s="85"/>
      <c r="M42" s="86"/>
      <c r="Y42" s="87"/>
    </row>
    <row r="43" spans="1:25" x14ac:dyDescent="0.45">
      <c r="A43" s="85"/>
      <c r="M43" s="86"/>
      <c r="Y43" s="87"/>
    </row>
    <row r="44" spans="1:25" x14ac:dyDescent="0.45">
      <c r="A44" s="85"/>
      <c r="M44" s="86"/>
      <c r="Y44" s="87"/>
    </row>
    <row r="45" spans="1:25" ht="18.600000000000001" thickBot="1" x14ac:dyDescent="0.5">
      <c r="A45" s="91"/>
      <c r="B45" s="92"/>
      <c r="C45" s="92"/>
      <c r="D45" s="92"/>
      <c r="E45" s="92"/>
      <c r="F45" s="92"/>
      <c r="G45" s="92"/>
      <c r="H45" s="92"/>
      <c r="I45" s="92"/>
      <c r="J45" s="92"/>
      <c r="K45" s="92"/>
      <c r="L45" s="92"/>
      <c r="M45" s="93"/>
      <c r="N45" s="92"/>
      <c r="O45" s="92"/>
      <c r="P45" s="92"/>
      <c r="Q45" s="92"/>
      <c r="R45" s="92"/>
      <c r="S45" s="92"/>
      <c r="T45" s="92"/>
      <c r="U45" s="92"/>
      <c r="V45" s="92"/>
      <c r="W45" s="92"/>
      <c r="X45" s="92"/>
      <c r="Y45" s="94"/>
    </row>
  </sheetData>
  <mergeCells count="15">
    <mergeCell ref="A8:F8"/>
    <mergeCell ref="G8:M8"/>
    <mergeCell ref="N8:Y8"/>
    <mergeCell ref="E1:M2"/>
    <mergeCell ref="A5:G5"/>
    <mergeCell ref="H5:Y5"/>
    <mergeCell ref="A6:G7"/>
    <mergeCell ref="H6:Y7"/>
    <mergeCell ref="A12:L12"/>
    <mergeCell ref="A13:L13"/>
    <mergeCell ref="A9:F10"/>
    <mergeCell ref="G9:M10"/>
    <mergeCell ref="N9:Y10"/>
    <mergeCell ref="A11:L11"/>
    <mergeCell ref="M11:Y11"/>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A1951-796F-43B0-BAF2-5D4B9B88D3C1}">
  <dimension ref="B2:O212"/>
  <sheetViews>
    <sheetView workbookViewId="0">
      <selection activeCell="I10" sqref="I10"/>
    </sheetView>
  </sheetViews>
  <sheetFormatPr defaultRowHeight="18" x14ac:dyDescent="0.45"/>
  <cols>
    <col min="1" max="1" width="8.796875" style="6"/>
    <col min="2" max="2" width="36.296875" style="6" customWidth="1"/>
    <col min="3" max="3" width="16.3984375" style="6" customWidth="1"/>
    <col min="4" max="4" width="15.3984375" style="6" customWidth="1"/>
    <col min="5" max="5" width="15.796875" style="6" customWidth="1"/>
    <col min="6" max="6" width="15.5" style="6" customWidth="1"/>
    <col min="7" max="7" width="15.59765625" style="6" customWidth="1"/>
    <col min="8" max="8" width="14.09765625" style="6" customWidth="1"/>
    <col min="9" max="10" width="8.796875" style="6"/>
    <col min="11" max="11" width="41.5" style="6" customWidth="1"/>
    <col min="12" max="12" width="8.796875" style="6"/>
    <col min="13" max="14" width="21.8984375" style="6" customWidth="1"/>
    <col min="15" max="15" width="23.3984375" style="6" customWidth="1"/>
    <col min="16" max="16384" width="8.796875" style="6"/>
  </cols>
  <sheetData>
    <row r="2" spans="2:14" x14ac:dyDescent="0.45">
      <c r="B2" s="114" t="s">
        <v>165</v>
      </c>
      <c r="C2" s="115"/>
      <c r="D2" s="115"/>
      <c r="E2" s="115"/>
      <c r="F2" s="115"/>
      <c r="G2" s="115"/>
    </row>
    <row r="3" spans="2:14" x14ac:dyDescent="0.45">
      <c r="B3" s="115"/>
      <c r="C3" s="115"/>
      <c r="D3" s="115"/>
      <c r="E3" s="115"/>
      <c r="F3" s="115"/>
      <c r="G3" s="115"/>
    </row>
    <row r="5" spans="2:14" ht="28.8" x14ac:dyDescent="0.45">
      <c r="B5" s="61" t="s">
        <v>116</v>
      </c>
      <c r="C5" s="116" t="s">
        <v>166</v>
      </c>
      <c r="D5" s="116"/>
      <c r="E5" s="116"/>
      <c r="F5" s="116"/>
      <c r="G5" s="116"/>
    </row>
    <row r="6" spans="2:14" ht="28.8" x14ac:dyDescent="0.45">
      <c r="B6" s="113"/>
      <c r="C6" s="113"/>
      <c r="D6" s="113"/>
      <c r="E6" s="113"/>
      <c r="F6" s="113"/>
      <c r="G6" s="113"/>
    </row>
    <row r="7" spans="2:14" s="5" customFormat="1" x14ac:dyDescent="0.45">
      <c r="B7" s="5" t="s">
        <v>53</v>
      </c>
      <c r="H7" s="6"/>
      <c r="I7" s="6"/>
      <c r="J7" s="6"/>
      <c r="K7" s="6"/>
      <c r="L7" s="6"/>
      <c r="M7" s="6"/>
      <c r="N7" s="6"/>
    </row>
    <row r="8" spans="2:14" s="10" customFormat="1" x14ac:dyDescent="0.45">
      <c r="B8" s="21" t="s">
        <v>117</v>
      </c>
      <c r="C8" s="21" t="s">
        <v>40</v>
      </c>
      <c r="D8" s="21" t="s">
        <v>41</v>
      </c>
      <c r="E8" s="21" t="s">
        <v>42</v>
      </c>
      <c r="F8" s="21" t="s">
        <v>43</v>
      </c>
      <c r="G8" s="21" t="s">
        <v>44</v>
      </c>
      <c r="I8" s="6"/>
    </row>
    <row r="9" spans="2:14" x14ac:dyDescent="0.45">
      <c r="B9" s="45" t="s">
        <v>101</v>
      </c>
      <c r="C9" s="47" t="s">
        <v>39</v>
      </c>
      <c r="D9" s="45" t="s">
        <v>35</v>
      </c>
      <c r="E9" s="45" t="s">
        <v>36</v>
      </c>
      <c r="F9" s="45">
        <v>3238</v>
      </c>
      <c r="G9" s="45" t="s">
        <v>37</v>
      </c>
    </row>
    <row r="10" spans="2:14" x14ac:dyDescent="0.45">
      <c r="B10" s="46" t="s">
        <v>121</v>
      </c>
      <c r="C10" s="43"/>
      <c r="D10" s="43"/>
      <c r="E10" s="43"/>
      <c r="F10" s="43"/>
      <c r="G10" s="43"/>
    </row>
    <row r="11" spans="2:14" x14ac:dyDescent="0.45">
      <c r="B11" s="117" t="s">
        <v>118</v>
      </c>
      <c r="C11" s="117"/>
      <c r="D11" s="68"/>
      <c r="E11" s="68"/>
      <c r="F11" s="68"/>
      <c r="G11" s="68"/>
      <c r="H11" s="49" t="s">
        <v>107</v>
      </c>
    </row>
    <row r="12" spans="2:14" ht="19.8" x14ac:dyDescent="0.45">
      <c r="B12" s="47" t="s">
        <v>220</v>
      </c>
      <c r="C12" s="47"/>
      <c r="D12" s="47"/>
      <c r="E12" s="47"/>
      <c r="F12" s="47"/>
      <c r="G12" s="47"/>
      <c r="H12" s="49" t="s">
        <v>108</v>
      </c>
      <c r="M12" s="25" t="s">
        <v>55</v>
      </c>
      <c r="N12" s="26" t="s">
        <v>54</v>
      </c>
    </row>
    <row r="13" spans="2:14" s="50" customFormat="1" x14ac:dyDescent="0.45">
      <c r="B13" s="80" t="s">
        <v>219</v>
      </c>
      <c r="C13" s="80" t="s">
        <v>114</v>
      </c>
      <c r="D13" s="80" t="s">
        <v>110</v>
      </c>
      <c r="E13" s="80" t="s">
        <v>113</v>
      </c>
      <c r="F13" s="80" t="s">
        <v>115</v>
      </c>
      <c r="G13" s="80"/>
      <c r="H13" s="55" t="s">
        <v>126</v>
      </c>
      <c r="M13" s="15" t="s">
        <v>56</v>
      </c>
      <c r="N13" s="15">
        <v>-9</v>
      </c>
    </row>
    <row r="14" spans="2:14" s="50" customFormat="1" x14ac:dyDescent="0.45">
      <c r="B14" s="80" t="s">
        <v>119</v>
      </c>
      <c r="C14" s="80" t="s">
        <v>109</v>
      </c>
      <c r="D14" s="80" t="s">
        <v>111</v>
      </c>
      <c r="E14" s="80" t="s">
        <v>112</v>
      </c>
      <c r="F14" s="80">
        <v>2004</v>
      </c>
      <c r="G14" s="80"/>
      <c r="H14" s="50">
        <v>1004</v>
      </c>
      <c r="M14" s="15" t="s">
        <v>57</v>
      </c>
      <c r="N14" s="15">
        <f>N17</f>
        <v>-1</v>
      </c>
    </row>
    <row r="15" spans="2:14" s="50" customFormat="1" x14ac:dyDescent="0.45">
      <c r="M15" s="15" t="s">
        <v>58</v>
      </c>
      <c r="N15" s="15">
        <v>-2</v>
      </c>
    </row>
    <row r="16" spans="2:14" s="50" customFormat="1" x14ac:dyDescent="0.45">
      <c r="H16" s="48"/>
      <c r="M16" s="15">
        <v>3237</v>
      </c>
      <c r="N16" s="15">
        <v>-2</v>
      </c>
    </row>
    <row r="17" spans="2:14" x14ac:dyDescent="0.45">
      <c r="B17" s="67" t="s">
        <v>168</v>
      </c>
      <c r="C17" s="23"/>
      <c r="D17" s="5"/>
      <c r="E17" s="5"/>
      <c r="F17" s="5"/>
      <c r="G17" s="5"/>
      <c r="M17" s="15" t="s">
        <v>63</v>
      </c>
      <c r="N17" s="15">
        <v>-1</v>
      </c>
    </row>
    <row r="18" spans="2:14" x14ac:dyDescent="0.45">
      <c r="B18" s="44" t="s">
        <v>32</v>
      </c>
      <c r="C18" s="44" t="s">
        <v>175</v>
      </c>
      <c r="D18" s="44">
        <v>206</v>
      </c>
      <c r="E18" s="44">
        <v>205</v>
      </c>
      <c r="F18" s="44">
        <v>203</v>
      </c>
      <c r="G18" s="44">
        <v>208</v>
      </c>
      <c r="H18" s="40" t="s">
        <v>100</v>
      </c>
      <c r="M18" s="15" t="s">
        <v>64</v>
      </c>
      <c r="N18" s="15">
        <v>-1</v>
      </c>
    </row>
    <row r="19" spans="2:14" x14ac:dyDescent="0.45">
      <c r="B19" s="44" t="s">
        <v>33</v>
      </c>
      <c r="C19" s="44">
        <v>8504</v>
      </c>
      <c r="D19" s="44">
        <v>8503</v>
      </c>
      <c r="E19" s="44">
        <v>8502</v>
      </c>
      <c r="F19" s="44">
        <v>8501</v>
      </c>
      <c r="G19" s="44">
        <v>8500</v>
      </c>
      <c r="H19" s="49" t="s">
        <v>90</v>
      </c>
      <c r="M19" s="15" t="s">
        <v>65</v>
      </c>
      <c r="N19" s="15">
        <v>-1</v>
      </c>
    </row>
    <row r="20" spans="2:14" x14ac:dyDescent="0.45">
      <c r="B20" s="67" t="s">
        <v>169</v>
      </c>
      <c r="C20" s="5"/>
      <c r="D20" s="5"/>
      <c r="E20" s="5"/>
      <c r="F20" s="5"/>
      <c r="G20" s="5"/>
      <c r="M20" s="15" t="s">
        <v>66</v>
      </c>
      <c r="N20" s="15">
        <v>-2</v>
      </c>
    </row>
    <row r="21" spans="2:14" x14ac:dyDescent="0.45">
      <c r="B21" s="44" t="s">
        <v>32</v>
      </c>
      <c r="C21" s="44">
        <v>1</v>
      </c>
      <c r="D21" s="44">
        <v>1</v>
      </c>
      <c r="E21" s="44">
        <v>1</v>
      </c>
      <c r="F21" s="44">
        <v>1</v>
      </c>
      <c r="G21" s="44">
        <v>1</v>
      </c>
      <c r="M21" s="15" t="s">
        <v>59</v>
      </c>
      <c r="N21" s="15">
        <v>-2</v>
      </c>
    </row>
    <row r="22" spans="2:14" x14ac:dyDescent="0.45">
      <c r="B22" s="44" t="s">
        <v>33</v>
      </c>
      <c r="C22" s="44">
        <v>8260</v>
      </c>
      <c r="D22" s="44">
        <v>8246</v>
      </c>
      <c r="E22" s="44">
        <v>8231</v>
      </c>
      <c r="F22" s="44">
        <v>8216</v>
      </c>
      <c r="G22" s="44">
        <v>8201</v>
      </c>
      <c r="M22" s="15" t="s">
        <v>60</v>
      </c>
      <c r="N22" s="15">
        <v>-9</v>
      </c>
    </row>
    <row r="23" spans="2:14" x14ac:dyDescent="0.45">
      <c r="B23" s="66" t="s">
        <v>170</v>
      </c>
      <c r="C23" s="43"/>
      <c r="D23" s="43"/>
      <c r="E23" s="43"/>
      <c r="F23" s="43"/>
      <c r="G23" s="43"/>
      <c r="M23" s="15" t="s">
        <v>47</v>
      </c>
      <c r="N23" s="15">
        <v>-1</v>
      </c>
    </row>
    <row r="24" spans="2:14" x14ac:dyDescent="0.45">
      <c r="B24" s="42" t="s">
        <v>32</v>
      </c>
      <c r="C24" s="42">
        <v>0</v>
      </c>
      <c r="D24" s="42">
        <v>0</v>
      </c>
      <c r="E24" s="42">
        <v>0</v>
      </c>
      <c r="F24" s="42">
        <v>0</v>
      </c>
      <c r="G24" s="42">
        <v>0</v>
      </c>
      <c r="I24" s="83"/>
      <c r="M24" s="15" t="s">
        <v>45</v>
      </c>
      <c r="N24" s="15">
        <v>-2</v>
      </c>
    </row>
    <row r="25" spans="2:14" x14ac:dyDescent="0.45">
      <c r="B25" s="42" t="s">
        <v>33</v>
      </c>
      <c r="C25" s="42">
        <v>8260</v>
      </c>
      <c r="D25" s="42">
        <v>8246</v>
      </c>
      <c r="E25" s="42">
        <v>8231</v>
      </c>
      <c r="F25" s="42">
        <v>8216</v>
      </c>
      <c r="G25" s="42">
        <v>8201</v>
      </c>
      <c r="H25" s="6" t="s">
        <v>97</v>
      </c>
      <c r="I25" s="83"/>
      <c r="M25" s="15">
        <v>3238</v>
      </c>
      <c r="N25" s="15">
        <v>-2</v>
      </c>
    </row>
    <row r="26" spans="2:14" x14ac:dyDescent="0.45">
      <c r="B26" s="67" t="s">
        <v>174</v>
      </c>
      <c r="C26" s="5"/>
      <c r="D26" s="5"/>
      <c r="E26" s="5"/>
      <c r="F26" s="5"/>
      <c r="G26" s="5"/>
      <c r="H26" s="5"/>
      <c r="I26" s="83"/>
      <c r="M26" s="15" t="s">
        <v>67</v>
      </c>
      <c r="N26" s="15">
        <v>-1</v>
      </c>
    </row>
    <row r="27" spans="2:14" x14ac:dyDescent="0.45">
      <c r="B27" s="42" t="s">
        <v>32</v>
      </c>
      <c r="C27" s="42">
        <v>1</v>
      </c>
      <c r="D27" s="42">
        <v>1</v>
      </c>
      <c r="E27" s="42">
        <v>1</v>
      </c>
      <c r="F27" s="42">
        <v>1</v>
      </c>
      <c r="G27" s="42">
        <v>1</v>
      </c>
      <c r="I27" s="83"/>
      <c r="M27" s="15" t="s">
        <v>68</v>
      </c>
      <c r="N27" s="15">
        <v>-1</v>
      </c>
    </row>
    <row r="28" spans="2:14" x14ac:dyDescent="0.45">
      <c r="B28" s="42" t="s">
        <v>33</v>
      </c>
      <c r="C28" s="42">
        <v>8262</v>
      </c>
      <c r="D28" s="42">
        <v>8247</v>
      </c>
      <c r="E28" s="42">
        <v>8232</v>
      </c>
      <c r="F28" s="42">
        <v>8217</v>
      </c>
      <c r="G28" s="42">
        <v>8202</v>
      </c>
      <c r="H28" s="6" t="s">
        <v>99</v>
      </c>
      <c r="I28" s="83"/>
      <c r="M28" s="15" t="s">
        <v>35</v>
      </c>
      <c r="N28" s="15">
        <v>-1</v>
      </c>
    </row>
    <row r="29" spans="2:14" x14ac:dyDescent="0.45">
      <c r="B29" s="67" t="s">
        <v>172</v>
      </c>
      <c r="C29" s="5"/>
      <c r="D29" s="5"/>
      <c r="E29" s="5"/>
      <c r="F29" s="5"/>
      <c r="G29" s="5"/>
      <c r="I29" s="83"/>
      <c r="M29" s="15" t="s">
        <v>46</v>
      </c>
      <c r="N29" s="15">
        <v>-2</v>
      </c>
    </row>
    <row r="30" spans="2:14" x14ac:dyDescent="0.45">
      <c r="B30" s="42" t="s">
        <v>32</v>
      </c>
      <c r="C30" s="42">
        <v>0</v>
      </c>
      <c r="D30" s="42">
        <v>0</v>
      </c>
      <c r="E30" s="42">
        <v>0</v>
      </c>
      <c r="F30" s="42">
        <v>0</v>
      </c>
      <c r="G30" s="42">
        <v>0</v>
      </c>
      <c r="I30" s="83" t="s">
        <v>88</v>
      </c>
      <c r="M30" s="15" t="s">
        <v>69</v>
      </c>
      <c r="N30" s="15">
        <v>-2</v>
      </c>
    </row>
    <row r="31" spans="2:14" x14ac:dyDescent="0.45">
      <c r="B31" s="42" t="s">
        <v>33</v>
      </c>
      <c r="C31" s="42">
        <v>8504</v>
      </c>
      <c r="D31" s="42">
        <v>8503</v>
      </c>
      <c r="E31" s="42">
        <v>8502</v>
      </c>
      <c r="F31" s="42">
        <v>8501</v>
      </c>
      <c r="G31" s="42">
        <v>8500</v>
      </c>
      <c r="H31" s="6" t="s">
        <v>98</v>
      </c>
      <c r="I31" s="83"/>
      <c r="M31" s="15" t="s">
        <v>70</v>
      </c>
      <c r="N31" s="15">
        <v>-2</v>
      </c>
    </row>
    <row r="32" spans="2:14" x14ac:dyDescent="0.45">
      <c r="B32" s="66" t="s">
        <v>173</v>
      </c>
      <c r="C32" s="5"/>
      <c r="D32" s="5"/>
      <c r="E32" s="5"/>
      <c r="F32" s="5"/>
      <c r="G32" s="5"/>
      <c r="I32" s="83"/>
    </row>
    <row r="33" spans="2:15" x14ac:dyDescent="0.45">
      <c r="B33" s="42" t="s">
        <v>32</v>
      </c>
      <c r="C33" s="42">
        <v>0</v>
      </c>
      <c r="D33" s="42">
        <v>0</v>
      </c>
      <c r="E33" s="42">
        <v>0</v>
      </c>
      <c r="F33" s="42">
        <v>0</v>
      </c>
      <c r="G33" s="42">
        <v>0</v>
      </c>
      <c r="I33" s="83"/>
    </row>
    <row r="34" spans="2:15" x14ac:dyDescent="0.45">
      <c r="B34" s="42" t="s">
        <v>33</v>
      </c>
      <c r="C34" s="42">
        <v>8262</v>
      </c>
      <c r="D34" s="42">
        <v>8247</v>
      </c>
      <c r="E34" s="42">
        <v>8232</v>
      </c>
      <c r="F34" s="42">
        <v>8217</v>
      </c>
      <c r="G34" s="42">
        <v>8202</v>
      </c>
      <c r="H34" s="6" t="s">
        <v>167</v>
      </c>
      <c r="I34" s="83"/>
      <c r="M34" s="20"/>
    </row>
    <row r="35" spans="2:15" ht="23.4" customHeight="1" x14ac:dyDescent="0.45">
      <c r="B35" s="59" t="s">
        <v>31</v>
      </c>
      <c r="C35" s="60"/>
      <c r="D35" s="60"/>
      <c r="E35" s="60"/>
      <c r="F35" s="60"/>
      <c r="G35" s="60"/>
      <c r="I35" s="83"/>
      <c r="M35" s="21" t="s">
        <v>73</v>
      </c>
      <c r="N35" s="25" t="s">
        <v>55</v>
      </c>
      <c r="O35" s="26" t="s">
        <v>86</v>
      </c>
    </row>
    <row r="36" spans="2:15" x14ac:dyDescent="0.45">
      <c r="I36" s="54"/>
      <c r="M36" s="15" t="s">
        <v>74</v>
      </c>
      <c r="N36" s="15">
        <v>4444</v>
      </c>
      <c r="O36" s="15" t="s">
        <v>80</v>
      </c>
    </row>
    <row r="37" spans="2:15" x14ac:dyDescent="0.45">
      <c r="I37" s="54"/>
      <c r="M37" s="15" t="s">
        <v>75</v>
      </c>
      <c r="N37" s="15">
        <v>5555</v>
      </c>
      <c r="O37" s="15" t="s">
        <v>81</v>
      </c>
    </row>
    <row r="38" spans="2:15" ht="18.600000000000001" thickBot="1" x14ac:dyDescent="0.5">
      <c r="B38" s="6" t="s">
        <v>52</v>
      </c>
      <c r="M38" s="15" t="s">
        <v>76</v>
      </c>
      <c r="N38" s="15">
        <v>6666</v>
      </c>
      <c r="O38" s="15" t="s">
        <v>82</v>
      </c>
    </row>
    <row r="39" spans="2:15" s="10" customFormat="1" x14ac:dyDescent="0.45">
      <c r="B39" s="11" t="s">
        <v>125</v>
      </c>
      <c r="C39" s="12" t="s">
        <v>40</v>
      </c>
      <c r="D39" s="13" t="s">
        <v>41</v>
      </c>
      <c r="E39" s="13" t="s">
        <v>42</v>
      </c>
      <c r="F39" s="13" t="s">
        <v>43</v>
      </c>
      <c r="G39" s="14" t="s">
        <v>44</v>
      </c>
      <c r="M39" s="15" t="s">
        <v>77</v>
      </c>
      <c r="N39" s="15">
        <v>1111</v>
      </c>
      <c r="O39" s="15" t="s">
        <v>84</v>
      </c>
    </row>
    <row r="40" spans="2:15" x14ac:dyDescent="0.45">
      <c r="B40" s="45" t="s">
        <v>38</v>
      </c>
      <c r="C40" s="45" t="s">
        <v>48</v>
      </c>
      <c r="D40" s="45" t="s">
        <v>67</v>
      </c>
      <c r="E40" s="45" t="s">
        <v>47</v>
      </c>
      <c r="F40" s="45" t="s">
        <v>46</v>
      </c>
      <c r="G40" s="45" t="s">
        <v>45</v>
      </c>
      <c r="M40" s="15" t="s">
        <v>78</v>
      </c>
      <c r="N40" s="15">
        <v>2222</v>
      </c>
      <c r="O40" s="15" t="s">
        <v>83</v>
      </c>
    </row>
    <row r="41" spans="2:15" x14ac:dyDescent="0.45">
      <c r="B41" s="111" t="s">
        <v>122</v>
      </c>
      <c r="C41" s="112"/>
      <c r="D41" s="51"/>
      <c r="E41" s="51"/>
      <c r="F41" s="51"/>
      <c r="G41" s="51"/>
      <c r="M41" s="15" t="s">
        <v>79</v>
      </c>
      <c r="N41" s="15">
        <v>3333</v>
      </c>
      <c r="O41" s="15" t="s">
        <v>85</v>
      </c>
    </row>
    <row r="42" spans="2:15" x14ac:dyDescent="0.45">
      <c r="B42" s="81" t="s">
        <v>220</v>
      </c>
      <c r="C42" s="81"/>
      <c r="D42" s="81"/>
      <c r="E42" s="81"/>
      <c r="F42" s="81"/>
      <c r="G42" s="81"/>
    </row>
    <row r="43" spans="2:15" x14ac:dyDescent="0.45">
      <c r="B43" s="82" t="s">
        <v>219</v>
      </c>
      <c r="C43" s="82" t="s">
        <v>114</v>
      </c>
      <c r="D43" s="82" t="s">
        <v>110</v>
      </c>
      <c r="E43" s="82" t="s">
        <v>120</v>
      </c>
      <c r="F43" s="82" t="s">
        <v>115</v>
      </c>
      <c r="G43" s="82"/>
      <c r="H43" s="55" t="s">
        <v>126</v>
      </c>
    </row>
    <row r="44" spans="2:15" x14ac:dyDescent="0.45">
      <c r="B44" s="82" t="s">
        <v>119</v>
      </c>
      <c r="C44" s="82" t="s">
        <v>109</v>
      </c>
      <c r="D44" s="82" t="s">
        <v>111</v>
      </c>
      <c r="E44" s="82" t="s">
        <v>112</v>
      </c>
      <c r="F44" s="82">
        <v>2005</v>
      </c>
      <c r="G44" s="82"/>
      <c r="H44" s="6">
        <v>1005</v>
      </c>
    </row>
    <row r="45" spans="2:15" x14ac:dyDescent="0.45">
      <c r="B45" s="82"/>
      <c r="C45" s="82"/>
      <c r="D45" s="82"/>
      <c r="E45" s="82"/>
      <c r="F45" s="82"/>
      <c r="G45" s="82"/>
    </row>
    <row r="46" spans="2:15" x14ac:dyDescent="0.45">
      <c r="B46" s="52"/>
      <c r="C46" s="52"/>
      <c r="D46" s="52"/>
      <c r="E46" s="52"/>
      <c r="F46" s="52"/>
      <c r="G46" s="52"/>
    </row>
    <row r="47" spans="2:15" x14ac:dyDescent="0.45">
      <c r="B47" s="5" t="s">
        <v>168</v>
      </c>
      <c r="C47" s="5"/>
      <c r="D47" s="5"/>
      <c r="E47" s="5"/>
      <c r="F47" s="5"/>
      <c r="G47" s="5"/>
    </row>
    <row r="48" spans="2:15" x14ac:dyDescent="0.45">
      <c r="B48" s="63" t="s">
        <v>32</v>
      </c>
      <c r="C48" s="70" t="s">
        <v>176</v>
      </c>
      <c r="D48" s="63">
        <v>204</v>
      </c>
      <c r="E48" s="63">
        <v>201</v>
      </c>
      <c r="F48" s="63">
        <v>207</v>
      </c>
      <c r="G48" s="63">
        <v>202</v>
      </c>
    </row>
    <row r="49" spans="2:12" x14ac:dyDescent="0.45">
      <c r="B49" s="62" t="s">
        <v>33</v>
      </c>
      <c r="C49" s="62">
        <v>8504</v>
      </c>
      <c r="D49" s="62">
        <v>8503</v>
      </c>
      <c r="E49" s="62">
        <v>8502</v>
      </c>
      <c r="F49" s="62">
        <v>8501</v>
      </c>
      <c r="G49" s="62">
        <v>8500</v>
      </c>
    </row>
    <row r="50" spans="2:12" x14ac:dyDescent="0.45">
      <c r="B50" s="5" t="s">
        <v>169</v>
      </c>
      <c r="C50" s="5"/>
      <c r="D50" s="5"/>
      <c r="E50" s="5"/>
      <c r="F50" s="5"/>
      <c r="G50" s="5"/>
    </row>
    <row r="51" spans="2:12" x14ac:dyDescent="0.45">
      <c r="B51" s="63" t="s">
        <v>32</v>
      </c>
      <c r="C51" s="63">
        <v>1</v>
      </c>
      <c r="D51" s="63">
        <v>1</v>
      </c>
      <c r="E51" s="63">
        <v>1</v>
      </c>
      <c r="F51" s="63">
        <v>1</v>
      </c>
      <c r="G51" s="63">
        <v>1</v>
      </c>
    </row>
    <row r="52" spans="2:12" x14ac:dyDescent="0.45">
      <c r="B52" s="62" t="s">
        <v>33</v>
      </c>
      <c r="C52" s="62">
        <v>8260</v>
      </c>
      <c r="D52" s="62">
        <v>8246</v>
      </c>
      <c r="E52" s="62">
        <v>8231</v>
      </c>
      <c r="F52" s="62">
        <v>8216</v>
      </c>
      <c r="G52" s="62">
        <v>8201</v>
      </c>
    </row>
    <row r="53" spans="2:12" x14ac:dyDescent="0.45">
      <c r="B53" s="5" t="s">
        <v>170</v>
      </c>
      <c r="C53" s="5"/>
      <c r="D53" s="5"/>
      <c r="E53" s="5"/>
      <c r="F53" s="5"/>
      <c r="G53" s="5"/>
      <c r="K53" s="6" t="s">
        <v>20</v>
      </c>
      <c r="L53" s="6" t="s">
        <v>34</v>
      </c>
    </row>
    <row r="54" spans="2:12" x14ac:dyDescent="0.45">
      <c r="B54" s="65" t="s">
        <v>32</v>
      </c>
      <c r="C54" s="65">
        <v>0</v>
      </c>
      <c r="D54" s="65">
        <v>0</v>
      </c>
      <c r="E54" s="65">
        <v>0</v>
      </c>
      <c r="F54" s="65">
        <v>0</v>
      </c>
      <c r="G54" s="65">
        <v>0</v>
      </c>
      <c r="H54" s="40"/>
      <c r="I54" s="83"/>
    </row>
    <row r="55" spans="2:12" x14ac:dyDescent="0.45">
      <c r="B55" s="64" t="s">
        <v>33</v>
      </c>
      <c r="C55" s="64">
        <v>8260</v>
      </c>
      <c r="D55" s="64">
        <v>8246</v>
      </c>
      <c r="E55" s="64">
        <v>8231</v>
      </c>
      <c r="F55" s="64">
        <v>8216</v>
      </c>
      <c r="G55" s="64">
        <v>8201</v>
      </c>
      <c r="H55" s="40" t="s">
        <v>97</v>
      </c>
      <c r="I55" s="83"/>
    </row>
    <row r="56" spans="2:12" x14ac:dyDescent="0.45">
      <c r="B56" s="5" t="s">
        <v>171</v>
      </c>
      <c r="C56" s="5"/>
      <c r="D56" s="5"/>
      <c r="E56" s="5"/>
      <c r="F56" s="5"/>
      <c r="G56" s="5"/>
      <c r="I56" s="83"/>
    </row>
    <row r="57" spans="2:12" x14ac:dyDescent="0.45">
      <c r="B57" s="65" t="s">
        <v>32</v>
      </c>
      <c r="C57" s="65">
        <v>1</v>
      </c>
      <c r="D57" s="65">
        <v>1</v>
      </c>
      <c r="E57" s="65">
        <v>1</v>
      </c>
      <c r="F57" s="65">
        <v>1</v>
      </c>
      <c r="G57" s="65">
        <v>1</v>
      </c>
      <c r="H57" s="40" t="s">
        <v>99</v>
      </c>
      <c r="I57" s="83"/>
    </row>
    <row r="58" spans="2:12" x14ac:dyDescent="0.45">
      <c r="B58" s="64" t="s">
        <v>33</v>
      </c>
      <c r="C58" s="64">
        <v>8262</v>
      </c>
      <c r="D58" s="64">
        <v>8247</v>
      </c>
      <c r="E58" s="64">
        <v>8232</v>
      </c>
      <c r="F58" s="64">
        <v>8217</v>
      </c>
      <c r="G58" s="64">
        <v>8202</v>
      </c>
      <c r="H58" s="40"/>
      <c r="I58" s="83"/>
    </row>
    <row r="59" spans="2:12" x14ac:dyDescent="0.45">
      <c r="B59" s="5" t="s">
        <v>172</v>
      </c>
      <c r="C59" s="5"/>
      <c r="D59" s="5"/>
      <c r="E59" s="5"/>
      <c r="F59" s="5"/>
      <c r="G59" s="5"/>
      <c r="I59" s="83"/>
    </row>
    <row r="60" spans="2:12" x14ac:dyDescent="0.45">
      <c r="B60" s="65" t="s">
        <v>32</v>
      </c>
      <c r="C60" s="65">
        <v>0</v>
      </c>
      <c r="D60" s="65">
        <v>0</v>
      </c>
      <c r="E60" s="65">
        <v>0</v>
      </c>
      <c r="F60" s="65">
        <v>0</v>
      </c>
      <c r="G60" s="65">
        <v>0</v>
      </c>
      <c r="H60" s="6" t="s">
        <v>98</v>
      </c>
      <c r="I60" s="83" t="s">
        <v>88</v>
      </c>
    </row>
    <row r="61" spans="2:12" x14ac:dyDescent="0.45">
      <c r="B61" s="64" t="s">
        <v>33</v>
      </c>
      <c r="C61" s="64">
        <v>8504</v>
      </c>
      <c r="D61" s="64">
        <v>8503</v>
      </c>
      <c r="E61" s="64">
        <v>8502</v>
      </c>
      <c r="F61" s="64">
        <v>8501</v>
      </c>
      <c r="G61" s="64">
        <v>8500</v>
      </c>
      <c r="I61" s="83"/>
    </row>
    <row r="62" spans="2:12" x14ac:dyDescent="0.45">
      <c r="B62" s="5" t="s">
        <v>173</v>
      </c>
      <c r="C62" s="5"/>
      <c r="D62" s="5"/>
      <c r="E62" s="5"/>
      <c r="F62" s="5"/>
      <c r="G62" s="5"/>
      <c r="I62" s="83"/>
    </row>
    <row r="63" spans="2:12" x14ac:dyDescent="0.45">
      <c r="B63" s="65" t="s">
        <v>32</v>
      </c>
      <c r="C63" s="65">
        <v>0</v>
      </c>
      <c r="D63" s="65">
        <v>0</v>
      </c>
      <c r="E63" s="65">
        <v>0</v>
      </c>
      <c r="F63" s="65">
        <v>0</v>
      </c>
      <c r="G63" s="65">
        <v>0</v>
      </c>
      <c r="H63" s="6" t="s">
        <v>167</v>
      </c>
      <c r="I63" s="83"/>
    </row>
    <row r="64" spans="2:12" x14ac:dyDescent="0.45">
      <c r="B64" s="42" t="s">
        <v>33</v>
      </c>
      <c r="C64" s="42">
        <v>8262</v>
      </c>
      <c r="D64" s="42">
        <v>8247</v>
      </c>
      <c r="E64" s="42">
        <v>8232</v>
      </c>
      <c r="F64" s="42">
        <v>8217</v>
      </c>
      <c r="G64" s="42">
        <v>8202</v>
      </c>
      <c r="I64" s="83"/>
    </row>
    <row r="65" spans="2:12" x14ac:dyDescent="0.45">
      <c r="B65" s="41"/>
      <c r="C65" s="41"/>
      <c r="D65" s="41"/>
      <c r="E65" s="41"/>
      <c r="F65" s="41"/>
      <c r="G65" s="41"/>
      <c r="I65" s="83"/>
    </row>
    <row r="66" spans="2:12" x14ac:dyDescent="0.45">
      <c r="B66" s="41"/>
      <c r="C66" s="41"/>
      <c r="D66" s="41"/>
      <c r="E66" s="41"/>
      <c r="F66" s="41"/>
      <c r="G66" s="41"/>
    </row>
    <row r="67" spans="2:12" ht="18.600000000000001" thickBot="1" x14ac:dyDescent="0.5">
      <c r="B67" s="9" t="s">
        <v>31</v>
      </c>
      <c r="C67" s="7"/>
      <c r="D67" s="7"/>
      <c r="E67" s="7"/>
      <c r="F67" s="7"/>
      <c r="G67" s="8"/>
      <c r="K67" s="6" t="s">
        <v>21</v>
      </c>
      <c r="L67" s="6" t="s">
        <v>34</v>
      </c>
    </row>
    <row r="68" spans="2:12" x14ac:dyDescent="0.45">
      <c r="K68" s="6" t="s">
        <v>22</v>
      </c>
      <c r="L68" s="6" t="s">
        <v>34</v>
      </c>
    </row>
    <row r="69" spans="2:12" ht="18.600000000000001" thickBot="1" x14ac:dyDescent="0.5">
      <c r="B69" s="6" t="s">
        <v>53</v>
      </c>
      <c r="K69" s="6" t="s">
        <v>23</v>
      </c>
      <c r="L69" s="6" t="s">
        <v>34</v>
      </c>
    </row>
    <row r="70" spans="2:12" s="10" customFormat="1" ht="17.399999999999999" customHeight="1" x14ac:dyDescent="0.45">
      <c r="B70" s="11" t="s">
        <v>127</v>
      </c>
      <c r="C70" s="12" t="s">
        <v>40</v>
      </c>
      <c r="D70" s="13" t="s">
        <v>41</v>
      </c>
      <c r="E70" s="13" t="s">
        <v>42</v>
      </c>
      <c r="F70" s="13" t="s">
        <v>43</v>
      </c>
      <c r="G70" s="14" t="s">
        <v>44</v>
      </c>
    </row>
    <row r="71" spans="2:12" x14ac:dyDescent="0.45">
      <c r="B71" s="45" t="s">
        <v>38</v>
      </c>
      <c r="C71" s="45"/>
      <c r="D71" s="45"/>
      <c r="E71" s="45" t="s">
        <v>61</v>
      </c>
      <c r="F71" s="45" t="s">
        <v>60</v>
      </c>
      <c r="G71" s="45" t="s">
        <v>62</v>
      </c>
    </row>
    <row r="72" spans="2:12" x14ac:dyDescent="0.45">
      <c r="B72" s="111" t="s">
        <v>124</v>
      </c>
      <c r="C72" s="112"/>
      <c r="D72" s="51"/>
      <c r="E72" s="51"/>
      <c r="F72" s="51"/>
      <c r="G72" s="51"/>
    </row>
    <row r="73" spans="2:12" x14ac:dyDescent="0.45">
      <c r="B73" s="81" t="s">
        <v>221</v>
      </c>
      <c r="C73" s="81"/>
      <c r="D73" s="81"/>
      <c r="E73" s="81"/>
      <c r="F73" s="81"/>
      <c r="G73" s="81"/>
    </row>
    <row r="74" spans="2:12" x14ac:dyDescent="0.45">
      <c r="B74" s="82" t="s">
        <v>219</v>
      </c>
      <c r="C74" s="82" t="s">
        <v>114</v>
      </c>
      <c r="D74" s="82" t="s">
        <v>110</v>
      </c>
      <c r="E74" s="82" t="s">
        <v>120</v>
      </c>
      <c r="F74" s="82" t="s">
        <v>115</v>
      </c>
      <c r="G74" s="82"/>
      <c r="H74" s="55" t="s">
        <v>126</v>
      </c>
    </row>
    <row r="75" spans="2:12" x14ac:dyDescent="0.45">
      <c r="B75" s="82" t="s">
        <v>119</v>
      </c>
      <c r="C75" s="82" t="s">
        <v>109</v>
      </c>
      <c r="D75" s="82" t="s">
        <v>111</v>
      </c>
      <c r="E75" s="82" t="s">
        <v>112</v>
      </c>
      <c r="F75" s="82">
        <v>2006</v>
      </c>
      <c r="G75" s="82"/>
      <c r="H75" s="6">
        <v>1006</v>
      </c>
    </row>
    <row r="76" spans="2:12" x14ac:dyDescent="0.45">
      <c r="B76" s="82"/>
      <c r="C76" s="82"/>
      <c r="D76" s="82"/>
      <c r="E76" s="82"/>
      <c r="F76" s="82"/>
      <c r="G76" s="82"/>
    </row>
    <row r="77" spans="2:12" x14ac:dyDescent="0.45">
      <c r="B77" s="52"/>
      <c r="C77" s="52"/>
      <c r="D77" s="52"/>
      <c r="E77" s="52"/>
      <c r="F77" s="52"/>
      <c r="G77" s="52"/>
    </row>
    <row r="78" spans="2:12" x14ac:dyDescent="0.45">
      <c r="B78" s="5" t="s">
        <v>106</v>
      </c>
      <c r="C78" s="5"/>
      <c r="D78" s="5"/>
      <c r="E78" s="5"/>
      <c r="F78" s="5"/>
      <c r="G78" s="5"/>
    </row>
    <row r="79" spans="2:12" x14ac:dyDescent="0.45">
      <c r="B79" s="63" t="s">
        <v>32</v>
      </c>
      <c r="C79" s="63"/>
      <c r="D79" s="63"/>
      <c r="E79" s="63">
        <v>300</v>
      </c>
      <c r="F79" s="63">
        <v>200</v>
      </c>
      <c r="G79" s="63" t="s">
        <v>177</v>
      </c>
    </row>
    <row r="80" spans="2:12" x14ac:dyDescent="0.45">
      <c r="B80" s="62" t="s">
        <v>33</v>
      </c>
      <c r="C80" s="62"/>
      <c r="D80" s="62"/>
      <c r="E80" s="62">
        <v>8502</v>
      </c>
      <c r="F80" s="62">
        <v>8501</v>
      </c>
      <c r="G80" s="62">
        <v>8500</v>
      </c>
    </row>
    <row r="81" spans="2:9" x14ac:dyDescent="0.45">
      <c r="B81" s="5" t="s">
        <v>105</v>
      </c>
      <c r="C81" s="5"/>
      <c r="D81" s="5"/>
      <c r="E81" s="5"/>
      <c r="F81" s="5"/>
      <c r="G81" s="5"/>
    </row>
    <row r="82" spans="2:9" x14ac:dyDescent="0.45">
      <c r="B82" s="63" t="s">
        <v>32</v>
      </c>
      <c r="C82" s="63"/>
      <c r="D82" s="63"/>
      <c r="E82" s="63">
        <v>1</v>
      </c>
      <c r="F82" s="63">
        <v>1</v>
      </c>
      <c r="G82" s="63">
        <v>1</v>
      </c>
    </row>
    <row r="83" spans="2:9" x14ac:dyDescent="0.45">
      <c r="B83" s="44" t="s">
        <v>33</v>
      </c>
      <c r="C83" s="44"/>
      <c r="D83" s="44"/>
      <c r="E83" s="44">
        <v>8231</v>
      </c>
      <c r="F83" s="44">
        <v>8216</v>
      </c>
      <c r="G83" s="44">
        <v>8200</v>
      </c>
    </row>
    <row r="84" spans="2:9" x14ac:dyDescent="0.45">
      <c r="B84" s="6" t="s">
        <v>102</v>
      </c>
      <c r="E84" s="5"/>
      <c r="F84" s="5"/>
      <c r="G84" s="5"/>
    </row>
    <row r="85" spans="2:9" x14ac:dyDescent="0.45">
      <c r="B85" s="42" t="s">
        <v>32</v>
      </c>
      <c r="C85" s="42"/>
      <c r="D85" s="42"/>
      <c r="E85" s="42">
        <v>0</v>
      </c>
      <c r="F85" s="42">
        <v>0</v>
      </c>
      <c r="G85" s="42">
        <v>0</v>
      </c>
      <c r="H85" s="40" t="s">
        <v>97</v>
      </c>
      <c r="I85" s="83"/>
    </row>
    <row r="86" spans="2:9" x14ac:dyDescent="0.45">
      <c r="B86" s="64" t="s">
        <v>33</v>
      </c>
      <c r="C86" s="64"/>
      <c r="D86" s="64"/>
      <c r="E86" s="64">
        <v>8231</v>
      </c>
      <c r="F86" s="64">
        <v>8216</v>
      </c>
      <c r="G86" s="64">
        <v>8201</v>
      </c>
      <c r="I86" s="83"/>
    </row>
    <row r="87" spans="2:9" x14ac:dyDescent="0.45">
      <c r="B87" s="5" t="s">
        <v>102</v>
      </c>
      <c r="C87" s="5"/>
      <c r="D87" s="5"/>
      <c r="E87" s="5"/>
      <c r="F87" s="5"/>
      <c r="G87" s="5"/>
      <c r="I87" s="83"/>
    </row>
    <row r="88" spans="2:9" x14ac:dyDescent="0.45">
      <c r="B88" s="65" t="s">
        <v>32</v>
      </c>
      <c r="C88" s="65"/>
      <c r="D88" s="65"/>
      <c r="E88" s="65">
        <v>1</v>
      </c>
      <c r="F88" s="65">
        <v>1</v>
      </c>
      <c r="G88" s="65">
        <v>1</v>
      </c>
      <c r="H88" s="40" t="s">
        <v>99</v>
      </c>
      <c r="I88" s="83"/>
    </row>
    <row r="89" spans="2:9" x14ac:dyDescent="0.45">
      <c r="B89" s="64" t="s">
        <v>33</v>
      </c>
      <c r="C89" s="64"/>
      <c r="D89" s="64"/>
      <c r="E89" s="64">
        <v>8232</v>
      </c>
      <c r="F89" s="64">
        <v>8217</v>
      </c>
      <c r="G89" s="64">
        <v>8202</v>
      </c>
      <c r="H89" s="40"/>
      <c r="I89" s="83"/>
    </row>
    <row r="90" spans="2:9" x14ac:dyDescent="0.45">
      <c r="B90" s="5" t="s">
        <v>103</v>
      </c>
      <c r="C90" s="5"/>
      <c r="D90" s="5"/>
      <c r="E90" s="5"/>
      <c r="F90" s="5"/>
      <c r="G90" s="5"/>
      <c r="I90" s="83"/>
    </row>
    <row r="91" spans="2:9" x14ac:dyDescent="0.45">
      <c r="B91" s="65" t="s">
        <v>32</v>
      </c>
      <c r="C91" s="65"/>
      <c r="D91" s="65"/>
      <c r="E91" s="65">
        <v>0</v>
      </c>
      <c r="F91" s="65">
        <v>0</v>
      </c>
      <c r="G91" s="65">
        <v>0</v>
      </c>
      <c r="H91" s="6" t="s">
        <v>98</v>
      </c>
      <c r="I91" s="83" t="s">
        <v>88</v>
      </c>
    </row>
    <row r="92" spans="2:9" x14ac:dyDescent="0.45">
      <c r="B92" s="64" t="s">
        <v>33</v>
      </c>
      <c r="C92" s="64"/>
      <c r="D92" s="64"/>
      <c r="E92" s="64">
        <v>8502</v>
      </c>
      <c r="F92" s="64">
        <v>8501</v>
      </c>
      <c r="G92" s="64">
        <v>8500</v>
      </c>
      <c r="I92" s="83"/>
    </row>
    <row r="93" spans="2:9" x14ac:dyDescent="0.45">
      <c r="B93" s="5" t="s">
        <v>104</v>
      </c>
      <c r="C93" s="5"/>
      <c r="D93" s="5"/>
      <c r="E93" s="5"/>
      <c r="F93" s="5"/>
      <c r="G93" s="5"/>
      <c r="I93" s="83"/>
    </row>
    <row r="94" spans="2:9" x14ac:dyDescent="0.45">
      <c r="B94" s="65" t="s">
        <v>32</v>
      </c>
      <c r="C94" s="65"/>
      <c r="D94" s="65"/>
      <c r="E94" s="65">
        <v>0</v>
      </c>
      <c r="F94" s="65">
        <v>0</v>
      </c>
      <c r="G94" s="65">
        <v>0</v>
      </c>
      <c r="H94" s="6" t="s">
        <v>167</v>
      </c>
      <c r="I94" s="83"/>
    </row>
    <row r="95" spans="2:9" x14ac:dyDescent="0.45">
      <c r="B95" s="42" t="s">
        <v>33</v>
      </c>
      <c r="C95" s="42"/>
      <c r="D95" s="42"/>
      <c r="E95" s="42">
        <v>8232</v>
      </c>
      <c r="F95" s="42">
        <v>8217</v>
      </c>
      <c r="G95" s="42">
        <v>8202</v>
      </c>
      <c r="I95" s="83"/>
    </row>
    <row r="96" spans="2:9" ht="18.600000000000001" thickBot="1" x14ac:dyDescent="0.5">
      <c r="B96" s="9" t="s">
        <v>31</v>
      </c>
      <c r="C96" s="7"/>
      <c r="D96" s="7"/>
      <c r="E96" s="7"/>
      <c r="F96" s="7"/>
      <c r="G96" s="8"/>
      <c r="I96" s="83"/>
    </row>
    <row r="98" spans="2:8" ht="18.600000000000001" thickBot="1" x14ac:dyDescent="0.5"/>
    <row r="99" spans="2:8" s="10" customFormat="1" x14ac:dyDescent="0.45">
      <c r="B99" s="16" t="s">
        <v>128</v>
      </c>
      <c r="C99" s="17" t="s">
        <v>40</v>
      </c>
      <c r="D99" s="18" t="s">
        <v>41</v>
      </c>
      <c r="E99" s="18" t="s">
        <v>42</v>
      </c>
      <c r="F99" s="18" t="s">
        <v>43</v>
      </c>
      <c r="G99" s="19" t="s">
        <v>44</v>
      </c>
    </row>
    <row r="100" spans="2:8" x14ac:dyDescent="0.45">
      <c r="B100" s="45" t="s">
        <v>38</v>
      </c>
      <c r="C100" s="45" t="s">
        <v>49</v>
      </c>
      <c r="D100" s="45" t="s">
        <v>50</v>
      </c>
      <c r="E100" s="45" t="s">
        <v>51</v>
      </c>
      <c r="F100" s="45" t="s">
        <v>51</v>
      </c>
      <c r="G100" s="45" t="s">
        <v>51</v>
      </c>
    </row>
    <row r="101" spans="2:8" x14ac:dyDescent="0.45">
      <c r="B101" s="111" t="s">
        <v>123</v>
      </c>
      <c r="C101" s="112"/>
      <c r="D101" s="51"/>
      <c r="E101" s="51"/>
      <c r="F101" s="51"/>
      <c r="G101" s="51"/>
    </row>
    <row r="102" spans="2:8" x14ac:dyDescent="0.45">
      <c r="B102" s="81" t="s">
        <v>222</v>
      </c>
      <c r="C102" s="81"/>
      <c r="D102" s="81"/>
      <c r="E102" s="81"/>
      <c r="F102" s="81"/>
      <c r="G102" s="81"/>
    </row>
    <row r="103" spans="2:8" x14ac:dyDescent="0.45">
      <c r="B103" s="82" t="s">
        <v>219</v>
      </c>
      <c r="C103" s="82" t="s">
        <v>114</v>
      </c>
      <c r="D103" s="82" t="s">
        <v>110</v>
      </c>
      <c r="E103" s="82" t="s">
        <v>120</v>
      </c>
      <c r="F103" s="82" t="s">
        <v>115</v>
      </c>
      <c r="G103" s="82"/>
      <c r="H103" s="55" t="s">
        <v>126</v>
      </c>
    </row>
    <row r="104" spans="2:8" x14ac:dyDescent="0.45">
      <c r="B104" s="82" t="s">
        <v>119</v>
      </c>
      <c r="C104" s="82" t="s">
        <v>109</v>
      </c>
      <c r="D104" s="82" t="s">
        <v>111</v>
      </c>
      <c r="E104" s="82" t="s">
        <v>112</v>
      </c>
      <c r="F104" s="82">
        <v>2001</v>
      </c>
      <c r="G104" s="82"/>
      <c r="H104" s="6">
        <v>1001</v>
      </c>
    </row>
    <row r="105" spans="2:8" x14ac:dyDescent="0.45">
      <c r="B105" s="82"/>
      <c r="C105" s="82"/>
      <c r="D105" s="82"/>
      <c r="E105" s="82"/>
      <c r="F105" s="82"/>
      <c r="G105" s="82"/>
    </row>
    <row r="106" spans="2:8" x14ac:dyDescent="0.45">
      <c r="B106" s="52"/>
      <c r="C106" s="52"/>
      <c r="D106" s="52"/>
      <c r="E106" s="52"/>
      <c r="F106" s="52"/>
      <c r="G106" s="52"/>
    </row>
    <row r="107" spans="2:8" x14ac:dyDescent="0.45">
      <c r="B107" s="5" t="s">
        <v>106</v>
      </c>
      <c r="C107" s="5"/>
      <c r="D107" s="5"/>
      <c r="E107" s="5"/>
      <c r="F107" s="5"/>
      <c r="G107" s="5"/>
    </row>
    <row r="108" spans="2:8" x14ac:dyDescent="0.45">
      <c r="B108" s="63" t="s">
        <v>32</v>
      </c>
      <c r="C108" s="63">
        <v>107</v>
      </c>
      <c r="D108" s="63">
        <v>103</v>
      </c>
      <c r="E108" s="63">
        <v>105</v>
      </c>
      <c r="F108" s="63">
        <v>106</v>
      </c>
      <c r="G108" s="63" t="s">
        <v>178</v>
      </c>
    </row>
    <row r="109" spans="2:8" x14ac:dyDescent="0.45">
      <c r="B109" s="62" t="s">
        <v>33</v>
      </c>
      <c r="C109" s="62">
        <v>8404</v>
      </c>
      <c r="D109" s="62">
        <v>8403</v>
      </c>
      <c r="E109" s="62">
        <v>8402</v>
      </c>
      <c r="F109" s="62">
        <v>8401</v>
      </c>
      <c r="G109" s="62">
        <v>8400</v>
      </c>
    </row>
    <row r="110" spans="2:8" x14ac:dyDescent="0.45">
      <c r="B110" s="5" t="s">
        <v>105</v>
      </c>
      <c r="C110" s="5"/>
      <c r="D110" s="5"/>
      <c r="E110" s="5"/>
      <c r="F110" s="5"/>
      <c r="G110" s="5"/>
    </row>
    <row r="111" spans="2:8" x14ac:dyDescent="0.45">
      <c r="B111" s="63" t="s">
        <v>32</v>
      </c>
      <c r="C111" s="63">
        <v>1</v>
      </c>
      <c r="D111" s="63">
        <v>1</v>
      </c>
      <c r="E111" s="63">
        <v>1</v>
      </c>
      <c r="F111" s="63">
        <v>1</v>
      </c>
      <c r="G111" s="63">
        <v>1</v>
      </c>
    </row>
    <row r="112" spans="2:8" x14ac:dyDescent="0.45">
      <c r="B112" s="62" t="s">
        <v>33</v>
      </c>
      <c r="C112" s="62">
        <v>8061</v>
      </c>
      <c r="D112" s="62">
        <v>8046</v>
      </c>
      <c r="E112" s="62">
        <v>8031</v>
      </c>
      <c r="F112" s="62">
        <v>8016</v>
      </c>
      <c r="G112" s="62">
        <v>8000</v>
      </c>
    </row>
    <row r="113" spans="2:9" x14ac:dyDescent="0.45">
      <c r="B113" s="6" t="s">
        <v>102</v>
      </c>
    </row>
    <row r="114" spans="2:9" x14ac:dyDescent="0.45">
      <c r="B114" s="65" t="s">
        <v>33</v>
      </c>
      <c r="C114" s="65">
        <v>8061</v>
      </c>
      <c r="D114" s="65">
        <v>8046</v>
      </c>
      <c r="E114" s="65">
        <v>8031</v>
      </c>
      <c r="F114" s="65">
        <v>8016</v>
      </c>
      <c r="G114" s="65">
        <v>8000</v>
      </c>
      <c r="H114" s="40" t="s">
        <v>94</v>
      </c>
      <c r="I114" s="83"/>
    </row>
    <row r="115" spans="2:9" x14ac:dyDescent="0.45">
      <c r="B115" s="42" t="s">
        <v>32</v>
      </c>
      <c r="C115" s="42">
        <v>0</v>
      </c>
      <c r="D115" s="42">
        <v>0</v>
      </c>
      <c r="E115" s="42">
        <v>0</v>
      </c>
      <c r="F115" s="42">
        <v>0</v>
      </c>
      <c r="G115" s="42">
        <v>0</v>
      </c>
      <c r="I115" s="83"/>
    </row>
    <row r="116" spans="2:9" x14ac:dyDescent="0.45">
      <c r="B116" s="5" t="s">
        <v>102</v>
      </c>
      <c r="C116" s="5"/>
      <c r="D116" s="5"/>
      <c r="E116" s="5"/>
      <c r="F116" s="5"/>
      <c r="G116" s="5"/>
      <c r="I116" s="83"/>
    </row>
    <row r="117" spans="2:9" x14ac:dyDescent="0.45">
      <c r="B117" s="42" t="s">
        <v>33</v>
      </c>
      <c r="C117" s="42">
        <v>8062</v>
      </c>
      <c r="D117" s="42">
        <v>8047</v>
      </c>
      <c r="E117" s="42">
        <v>8032</v>
      </c>
      <c r="F117" s="42">
        <v>8017</v>
      </c>
      <c r="G117" s="42">
        <v>8002</v>
      </c>
      <c r="H117" s="40" t="s">
        <v>95</v>
      </c>
      <c r="I117" s="83"/>
    </row>
    <row r="118" spans="2:9" x14ac:dyDescent="0.45">
      <c r="B118" s="64" t="s">
        <v>32</v>
      </c>
      <c r="C118" s="64">
        <v>1</v>
      </c>
      <c r="D118" s="64">
        <v>1</v>
      </c>
      <c r="E118" s="64">
        <v>1</v>
      </c>
      <c r="F118" s="64">
        <v>1</v>
      </c>
      <c r="G118" s="64">
        <v>1</v>
      </c>
      <c r="H118" s="40"/>
      <c r="I118" s="83"/>
    </row>
    <row r="119" spans="2:9" x14ac:dyDescent="0.45">
      <c r="B119" s="5" t="s">
        <v>103</v>
      </c>
      <c r="C119" s="5"/>
      <c r="D119" s="5"/>
      <c r="E119" s="5"/>
      <c r="F119" s="5"/>
      <c r="G119" s="5"/>
      <c r="I119" s="83"/>
    </row>
    <row r="120" spans="2:9" x14ac:dyDescent="0.45">
      <c r="B120" s="65" t="s">
        <v>33</v>
      </c>
      <c r="C120" s="65">
        <v>8404</v>
      </c>
      <c r="D120" s="65">
        <v>8403</v>
      </c>
      <c r="E120" s="65">
        <v>8402</v>
      </c>
      <c r="F120" s="65">
        <v>8401</v>
      </c>
      <c r="G120" s="65">
        <v>8400</v>
      </c>
      <c r="H120" s="6" t="s">
        <v>96</v>
      </c>
      <c r="I120" s="83" t="s">
        <v>88</v>
      </c>
    </row>
    <row r="121" spans="2:9" x14ac:dyDescent="0.45">
      <c r="B121" s="64" t="s">
        <v>32</v>
      </c>
      <c r="C121" s="64">
        <v>0</v>
      </c>
      <c r="D121" s="64">
        <v>0</v>
      </c>
      <c r="E121" s="64">
        <v>0</v>
      </c>
      <c r="F121" s="64">
        <v>0</v>
      </c>
      <c r="G121" s="64">
        <v>0</v>
      </c>
      <c r="I121" s="83"/>
    </row>
    <row r="122" spans="2:9" x14ac:dyDescent="0.45">
      <c r="B122" s="5" t="s">
        <v>104</v>
      </c>
      <c r="C122" s="5"/>
      <c r="D122" s="5"/>
      <c r="E122" s="5"/>
      <c r="F122" s="5"/>
      <c r="G122" s="5"/>
      <c r="I122" s="83"/>
    </row>
    <row r="123" spans="2:9" x14ac:dyDescent="0.45">
      <c r="B123" s="65" t="s">
        <v>33</v>
      </c>
      <c r="C123" s="65">
        <v>8062</v>
      </c>
      <c r="D123" s="65">
        <v>8047</v>
      </c>
      <c r="E123" s="65">
        <v>8032</v>
      </c>
      <c r="F123" s="65">
        <v>8017</v>
      </c>
      <c r="G123" s="65">
        <v>8002</v>
      </c>
      <c r="H123" s="6" t="s">
        <v>167</v>
      </c>
      <c r="I123" s="83"/>
    </row>
    <row r="124" spans="2:9" x14ac:dyDescent="0.45">
      <c r="B124" s="42" t="s">
        <v>32</v>
      </c>
      <c r="C124" s="42">
        <v>0</v>
      </c>
      <c r="D124" s="42">
        <v>0</v>
      </c>
      <c r="E124" s="42">
        <v>0</v>
      </c>
      <c r="F124" s="42">
        <v>0</v>
      </c>
      <c r="G124" s="42">
        <v>0</v>
      </c>
      <c r="I124" s="83"/>
    </row>
    <row r="125" spans="2:9" ht="18.600000000000001" thickBot="1" x14ac:dyDescent="0.5">
      <c r="B125" s="9" t="s">
        <v>31</v>
      </c>
      <c r="C125" s="7"/>
      <c r="D125" s="7"/>
      <c r="E125" s="7"/>
      <c r="F125" s="7"/>
      <c r="G125" s="8"/>
      <c r="I125" s="83"/>
    </row>
    <row r="126" spans="2:9" x14ac:dyDescent="0.45">
      <c r="I126" s="5"/>
    </row>
    <row r="127" spans="2:9" x14ac:dyDescent="0.45">
      <c r="I127" s="5"/>
    </row>
    <row r="128" spans="2:9" ht="18.600000000000001" thickBot="1" x14ac:dyDescent="0.5">
      <c r="B128" s="22"/>
      <c r="C128" s="23"/>
      <c r="D128" s="23"/>
      <c r="E128" s="23"/>
      <c r="F128" s="23"/>
      <c r="G128" s="24"/>
      <c r="I128" s="5"/>
    </row>
    <row r="129" spans="2:9" s="10" customFormat="1" x14ac:dyDescent="0.45">
      <c r="B129" s="16" t="s">
        <v>129</v>
      </c>
      <c r="C129" s="17" t="s">
        <v>40</v>
      </c>
      <c r="D129" s="18" t="s">
        <v>41</v>
      </c>
      <c r="E129" s="18" t="s">
        <v>42</v>
      </c>
      <c r="F129" s="18" t="s">
        <v>43</v>
      </c>
      <c r="G129" s="19" t="s">
        <v>44</v>
      </c>
    </row>
    <row r="130" spans="2:9" x14ac:dyDescent="0.45">
      <c r="B130" s="45" t="s">
        <v>38</v>
      </c>
      <c r="C130" s="45" t="s">
        <v>49</v>
      </c>
      <c r="D130" s="45" t="s">
        <v>50</v>
      </c>
      <c r="E130" s="45" t="s">
        <v>51</v>
      </c>
      <c r="F130" s="45" t="s">
        <v>51</v>
      </c>
      <c r="G130" s="45" t="s">
        <v>51</v>
      </c>
    </row>
    <row r="131" spans="2:9" x14ac:dyDescent="0.45">
      <c r="B131" s="111" t="s">
        <v>123</v>
      </c>
      <c r="C131" s="112"/>
      <c r="D131" s="51"/>
      <c r="E131" s="51"/>
      <c r="F131" s="51"/>
      <c r="G131" s="51"/>
    </row>
    <row r="132" spans="2:9" x14ac:dyDescent="0.45">
      <c r="B132" s="81" t="s">
        <v>222</v>
      </c>
      <c r="C132" s="81"/>
      <c r="D132" s="81"/>
      <c r="E132" s="81"/>
      <c r="F132" s="81"/>
      <c r="G132" s="81"/>
    </row>
    <row r="133" spans="2:9" x14ac:dyDescent="0.45">
      <c r="B133" s="82" t="s">
        <v>219</v>
      </c>
      <c r="C133" s="82" t="s">
        <v>114</v>
      </c>
      <c r="D133" s="82" t="s">
        <v>110</v>
      </c>
      <c r="E133" s="82" t="s">
        <v>120</v>
      </c>
      <c r="F133" s="82" t="s">
        <v>115</v>
      </c>
      <c r="G133" s="82"/>
      <c r="H133" s="55" t="s">
        <v>126</v>
      </c>
    </row>
    <row r="134" spans="2:9" x14ac:dyDescent="0.45">
      <c r="B134" s="82" t="s">
        <v>119</v>
      </c>
      <c r="C134" s="82" t="s">
        <v>109</v>
      </c>
      <c r="D134" s="82" t="s">
        <v>111</v>
      </c>
      <c r="E134" s="82" t="s">
        <v>112</v>
      </c>
      <c r="F134" s="82">
        <v>2002</v>
      </c>
      <c r="G134" s="82"/>
      <c r="H134" s="6">
        <v>1002</v>
      </c>
    </row>
    <row r="135" spans="2:9" x14ac:dyDescent="0.45">
      <c r="B135" s="82"/>
      <c r="C135" s="82"/>
      <c r="D135" s="82"/>
      <c r="E135" s="82"/>
      <c r="F135" s="82"/>
      <c r="G135" s="82"/>
    </row>
    <row r="136" spans="2:9" x14ac:dyDescent="0.45">
      <c r="B136" s="52"/>
      <c r="C136" s="52"/>
      <c r="D136" s="52"/>
      <c r="E136" s="52"/>
      <c r="F136" s="52"/>
      <c r="G136" s="52"/>
    </row>
    <row r="137" spans="2:9" x14ac:dyDescent="0.45">
      <c r="B137" s="5" t="s">
        <v>106</v>
      </c>
      <c r="C137" s="5"/>
      <c r="D137" s="5"/>
      <c r="E137" s="5"/>
      <c r="F137" s="5"/>
      <c r="G137" s="5"/>
    </row>
    <row r="138" spans="2:9" x14ac:dyDescent="0.45">
      <c r="B138" s="63" t="s">
        <v>32</v>
      </c>
      <c r="C138" s="63">
        <v>102</v>
      </c>
      <c r="D138" s="63">
        <v>108</v>
      </c>
      <c r="E138" s="63">
        <v>101</v>
      </c>
      <c r="F138" s="63">
        <v>104</v>
      </c>
      <c r="G138" s="63" t="s">
        <v>179</v>
      </c>
    </row>
    <row r="139" spans="2:9" x14ac:dyDescent="0.45">
      <c r="B139" s="62" t="s">
        <v>33</v>
      </c>
      <c r="C139" s="62">
        <v>8404</v>
      </c>
      <c r="D139" s="62">
        <v>8403</v>
      </c>
      <c r="E139" s="62">
        <v>8402</v>
      </c>
      <c r="F139" s="62">
        <v>8401</v>
      </c>
      <c r="G139" s="62">
        <v>8400</v>
      </c>
    </row>
    <row r="140" spans="2:9" x14ac:dyDescent="0.45">
      <c r="B140" s="5" t="s">
        <v>105</v>
      </c>
      <c r="C140" s="5"/>
      <c r="D140" s="5"/>
      <c r="E140" s="5"/>
      <c r="F140" s="5"/>
      <c r="G140" s="5"/>
    </row>
    <row r="141" spans="2:9" x14ac:dyDescent="0.45">
      <c r="B141" s="63" t="s">
        <v>32</v>
      </c>
      <c r="C141" s="63">
        <v>1</v>
      </c>
      <c r="D141" s="63">
        <v>1</v>
      </c>
      <c r="E141" s="63">
        <v>1</v>
      </c>
      <c r="F141" s="63">
        <v>1</v>
      </c>
      <c r="G141" s="63">
        <v>1</v>
      </c>
    </row>
    <row r="142" spans="2:9" x14ac:dyDescent="0.45">
      <c r="B142" s="62" t="s">
        <v>33</v>
      </c>
      <c r="C142" s="62">
        <v>8061</v>
      </c>
      <c r="D142" s="62">
        <v>8046</v>
      </c>
      <c r="E142" s="62">
        <v>8031</v>
      </c>
      <c r="F142" s="62">
        <v>8016</v>
      </c>
      <c r="G142" s="62">
        <v>8000</v>
      </c>
    </row>
    <row r="143" spans="2:9" x14ac:dyDescent="0.45">
      <c r="B143" s="6" t="s">
        <v>102</v>
      </c>
    </row>
    <row r="144" spans="2:9" x14ac:dyDescent="0.45">
      <c r="B144" s="65" t="s">
        <v>33</v>
      </c>
      <c r="C144" s="65">
        <v>8061</v>
      </c>
      <c r="D144" s="65">
        <v>8046</v>
      </c>
      <c r="E144" s="65">
        <v>8031</v>
      </c>
      <c r="F144" s="65">
        <v>8016</v>
      </c>
      <c r="G144" s="65">
        <v>8000</v>
      </c>
      <c r="H144" s="40" t="s">
        <v>94</v>
      </c>
      <c r="I144" s="83"/>
    </row>
    <row r="145" spans="2:9" x14ac:dyDescent="0.45">
      <c r="B145" s="42" t="s">
        <v>72</v>
      </c>
      <c r="C145" s="42">
        <v>0</v>
      </c>
      <c r="D145" s="42">
        <v>0</v>
      </c>
      <c r="E145" s="42">
        <v>0</v>
      </c>
      <c r="F145" s="42">
        <v>0</v>
      </c>
      <c r="G145" s="42">
        <v>0</v>
      </c>
      <c r="I145" s="83"/>
    </row>
    <row r="146" spans="2:9" x14ac:dyDescent="0.45">
      <c r="B146" s="5" t="s">
        <v>102</v>
      </c>
      <c r="C146" s="5"/>
      <c r="D146" s="5"/>
      <c r="E146" s="5"/>
      <c r="F146" s="5"/>
      <c r="G146" s="5"/>
      <c r="I146" s="83"/>
    </row>
    <row r="147" spans="2:9" x14ac:dyDescent="0.45">
      <c r="B147" s="42" t="s">
        <v>33</v>
      </c>
      <c r="C147" s="42">
        <v>8062</v>
      </c>
      <c r="D147" s="42">
        <v>8047</v>
      </c>
      <c r="E147" s="42">
        <v>8032</v>
      </c>
      <c r="F147" s="42">
        <v>8017</v>
      </c>
      <c r="G147" s="42">
        <v>8002</v>
      </c>
      <c r="H147" s="40" t="s">
        <v>95</v>
      </c>
      <c r="I147" s="83"/>
    </row>
    <row r="148" spans="2:9" x14ac:dyDescent="0.45">
      <c r="B148" s="64" t="s">
        <v>71</v>
      </c>
      <c r="C148" s="64">
        <v>1</v>
      </c>
      <c r="D148" s="64">
        <v>1</v>
      </c>
      <c r="E148" s="64">
        <v>1</v>
      </c>
      <c r="F148" s="64">
        <v>1</v>
      </c>
      <c r="G148" s="64">
        <v>1</v>
      </c>
      <c r="H148" s="40"/>
      <c r="I148" s="83"/>
    </row>
    <row r="149" spans="2:9" x14ac:dyDescent="0.45">
      <c r="B149" s="5" t="s">
        <v>103</v>
      </c>
      <c r="C149" s="5"/>
      <c r="D149" s="5"/>
      <c r="E149" s="5"/>
      <c r="F149" s="5"/>
      <c r="G149" s="5"/>
      <c r="I149" s="83"/>
    </row>
    <row r="150" spans="2:9" x14ac:dyDescent="0.45">
      <c r="B150" s="65" t="s">
        <v>33</v>
      </c>
      <c r="C150" s="65">
        <v>8404</v>
      </c>
      <c r="D150" s="65">
        <v>8403</v>
      </c>
      <c r="E150" s="65">
        <v>8402</v>
      </c>
      <c r="F150" s="65">
        <v>8401</v>
      </c>
      <c r="G150" s="65">
        <v>8400</v>
      </c>
      <c r="H150" s="6" t="s">
        <v>96</v>
      </c>
      <c r="I150" s="83" t="s">
        <v>88</v>
      </c>
    </row>
    <row r="151" spans="2:9" x14ac:dyDescent="0.45">
      <c r="B151" s="64" t="s">
        <v>32</v>
      </c>
      <c r="C151" s="64">
        <v>0</v>
      </c>
      <c r="D151" s="64">
        <v>0</v>
      </c>
      <c r="E151" s="64">
        <v>0</v>
      </c>
      <c r="F151" s="64">
        <v>0</v>
      </c>
      <c r="G151" s="64">
        <v>0</v>
      </c>
      <c r="I151" s="83"/>
    </row>
    <row r="152" spans="2:9" x14ac:dyDescent="0.45">
      <c r="B152" s="5" t="s">
        <v>104</v>
      </c>
      <c r="C152" s="5"/>
      <c r="D152" s="5"/>
      <c r="E152" s="5"/>
      <c r="F152" s="5"/>
      <c r="G152" s="5"/>
      <c r="I152" s="83"/>
    </row>
    <row r="153" spans="2:9" x14ac:dyDescent="0.45">
      <c r="B153" s="65" t="s">
        <v>33</v>
      </c>
      <c r="C153" s="65">
        <v>8062</v>
      </c>
      <c r="D153" s="65">
        <v>8047</v>
      </c>
      <c r="E153" s="65">
        <v>8032</v>
      </c>
      <c r="F153" s="65">
        <v>8017</v>
      </c>
      <c r="G153" s="65">
        <v>8002</v>
      </c>
      <c r="H153" s="6" t="s">
        <v>167</v>
      </c>
      <c r="I153" s="83"/>
    </row>
    <row r="154" spans="2:9" x14ac:dyDescent="0.45">
      <c r="B154" s="42" t="s">
        <v>87</v>
      </c>
      <c r="C154" s="42">
        <v>0</v>
      </c>
      <c r="D154" s="42">
        <v>0</v>
      </c>
      <c r="E154" s="42">
        <v>0</v>
      </c>
      <c r="F154" s="42">
        <v>0</v>
      </c>
      <c r="G154" s="42">
        <v>0</v>
      </c>
      <c r="I154" s="83"/>
    </row>
    <row r="155" spans="2:9" ht="18.600000000000001" thickBot="1" x14ac:dyDescent="0.5">
      <c r="B155" s="9" t="s">
        <v>31</v>
      </c>
      <c r="C155" s="7"/>
      <c r="D155" s="7"/>
      <c r="E155" s="7"/>
      <c r="F155" s="7"/>
      <c r="G155" s="8"/>
      <c r="I155" s="83"/>
    </row>
    <row r="156" spans="2:9" x14ac:dyDescent="0.45">
      <c r="I156" s="5"/>
    </row>
    <row r="157" spans="2:9" x14ac:dyDescent="0.45">
      <c r="I157" s="5"/>
    </row>
    <row r="158" spans="2:9" ht="18.600000000000001" thickBot="1" x14ac:dyDescent="0.5"/>
    <row r="159" spans="2:9" s="10" customFormat="1" x14ac:dyDescent="0.45">
      <c r="B159" s="16" t="s">
        <v>130</v>
      </c>
      <c r="C159" s="17" t="s">
        <v>40</v>
      </c>
      <c r="D159" s="18" t="s">
        <v>41</v>
      </c>
      <c r="E159" s="18" t="s">
        <v>42</v>
      </c>
      <c r="F159" s="18" t="s">
        <v>43</v>
      </c>
      <c r="G159" s="19" t="s">
        <v>44</v>
      </c>
    </row>
    <row r="160" spans="2:9" x14ac:dyDescent="0.45">
      <c r="B160" s="45" t="s">
        <v>38</v>
      </c>
      <c r="C160" s="45" t="s">
        <v>49</v>
      </c>
      <c r="D160" s="45" t="s">
        <v>50</v>
      </c>
      <c r="E160" s="45" t="s">
        <v>51</v>
      </c>
      <c r="F160" s="45" t="s">
        <v>51</v>
      </c>
      <c r="G160" s="45" t="s">
        <v>51</v>
      </c>
    </row>
    <row r="161" spans="2:9" x14ac:dyDescent="0.45">
      <c r="B161" s="111" t="s">
        <v>123</v>
      </c>
      <c r="C161" s="112"/>
      <c r="D161" s="51"/>
      <c r="E161" s="51"/>
      <c r="F161" s="51"/>
      <c r="G161" s="51"/>
    </row>
    <row r="162" spans="2:9" x14ac:dyDescent="0.45">
      <c r="B162" s="81" t="s">
        <v>223</v>
      </c>
      <c r="C162" s="81"/>
      <c r="D162" s="81"/>
      <c r="E162" s="81"/>
      <c r="F162" s="81"/>
      <c r="G162" s="81"/>
    </row>
    <row r="163" spans="2:9" x14ac:dyDescent="0.45">
      <c r="B163" s="82" t="s">
        <v>219</v>
      </c>
      <c r="C163" s="82" t="s">
        <v>114</v>
      </c>
      <c r="D163" s="82" t="s">
        <v>110</v>
      </c>
      <c r="E163" s="82" t="s">
        <v>120</v>
      </c>
      <c r="F163" s="82" t="s">
        <v>115</v>
      </c>
      <c r="G163" s="82"/>
      <c r="H163" s="55" t="s">
        <v>126</v>
      </c>
    </row>
    <row r="164" spans="2:9" x14ac:dyDescent="0.45">
      <c r="B164" s="82" t="s">
        <v>119</v>
      </c>
      <c r="C164" s="82" t="s">
        <v>109</v>
      </c>
      <c r="D164" s="82" t="s">
        <v>111</v>
      </c>
      <c r="E164" s="82" t="s">
        <v>112</v>
      </c>
      <c r="F164" s="82">
        <v>2003</v>
      </c>
      <c r="G164" s="82"/>
      <c r="H164" s="6">
        <v>1003</v>
      </c>
    </row>
    <row r="165" spans="2:9" x14ac:dyDescent="0.45">
      <c r="B165" s="82"/>
      <c r="C165" s="82"/>
      <c r="D165" s="82"/>
      <c r="E165" s="82"/>
      <c r="F165" s="82"/>
      <c r="G165" s="82"/>
    </row>
    <row r="166" spans="2:9" x14ac:dyDescent="0.45">
      <c r="B166" s="52"/>
      <c r="C166" s="52"/>
      <c r="D166" s="52"/>
      <c r="E166" s="52"/>
      <c r="F166" s="52"/>
      <c r="G166" s="52"/>
    </row>
    <row r="167" spans="2:9" x14ac:dyDescent="0.45">
      <c r="B167" s="5" t="s">
        <v>106</v>
      </c>
      <c r="C167" s="5"/>
      <c r="D167" s="5"/>
      <c r="E167" s="5"/>
      <c r="F167" s="5"/>
      <c r="G167" s="5"/>
    </row>
    <row r="168" spans="2:9" x14ac:dyDescent="0.45">
      <c r="B168" s="63" t="s">
        <v>32</v>
      </c>
      <c r="C168" s="70" t="s">
        <v>180</v>
      </c>
      <c r="D168" s="63">
        <v>100</v>
      </c>
      <c r="E168" s="63">
        <v>300</v>
      </c>
      <c r="F168" s="63"/>
      <c r="G168" s="63"/>
    </row>
    <row r="169" spans="2:9" x14ac:dyDescent="0.45">
      <c r="B169" s="62" t="s">
        <v>33</v>
      </c>
      <c r="C169" s="62">
        <v>8404</v>
      </c>
      <c r="D169" s="62">
        <v>8403</v>
      </c>
      <c r="E169" s="62">
        <v>8402</v>
      </c>
      <c r="F169" s="62"/>
      <c r="G169" s="62"/>
    </row>
    <row r="170" spans="2:9" x14ac:dyDescent="0.45">
      <c r="B170" s="5" t="s">
        <v>105</v>
      </c>
      <c r="C170" s="5"/>
      <c r="D170" s="5"/>
      <c r="E170" s="5"/>
      <c r="F170" s="5"/>
      <c r="G170" s="5"/>
    </row>
    <row r="171" spans="2:9" x14ac:dyDescent="0.45">
      <c r="B171" s="63" t="s">
        <v>32</v>
      </c>
      <c r="C171" s="63">
        <v>1</v>
      </c>
      <c r="D171" s="63">
        <v>1</v>
      </c>
      <c r="E171" s="63">
        <v>1</v>
      </c>
      <c r="F171" s="63"/>
      <c r="G171" s="63"/>
    </row>
    <row r="172" spans="2:9" x14ac:dyDescent="0.45">
      <c r="B172" s="62" t="s">
        <v>33</v>
      </c>
      <c r="C172" s="62">
        <v>8060</v>
      </c>
      <c r="D172" s="62">
        <v>8046</v>
      </c>
      <c r="E172" s="62">
        <v>8031</v>
      </c>
      <c r="F172" s="62"/>
      <c r="G172" s="62"/>
    </row>
    <row r="173" spans="2:9" x14ac:dyDescent="0.45">
      <c r="B173" s="6" t="s">
        <v>102</v>
      </c>
    </row>
    <row r="174" spans="2:9" x14ac:dyDescent="0.45">
      <c r="B174" s="65" t="s">
        <v>33</v>
      </c>
      <c r="C174" s="65">
        <v>8060</v>
      </c>
      <c r="D174" s="65">
        <v>8046</v>
      </c>
      <c r="E174" s="65">
        <v>8031</v>
      </c>
      <c r="F174" s="65"/>
      <c r="G174" s="65"/>
      <c r="H174" s="40" t="s">
        <v>94</v>
      </c>
      <c r="I174" s="83"/>
    </row>
    <row r="175" spans="2:9" x14ac:dyDescent="0.45">
      <c r="B175" s="42" t="s">
        <v>91</v>
      </c>
      <c r="C175" s="42">
        <v>0</v>
      </c>
      <c r="D175" s="42">
        <v>0</v>
      </c>
      <c r="E175" s="42">
        <v>0</v>
      </c>
      <c r="F175" s="42"/>
      <c r="G175" s="42"/>
      <c r="I175" s="83"/>
    </row>
    <row r="176" spans="2:9" x14ac:dyDescent="0.45">
      <c r="B176" s="5" t="s">
        <v>102</v>
      </c>
      <c r="C176" s="5"/>
      <c r="D176" s="5"/>
      <c r="E176" s="5"/>
      <c r="F176" s="5"/>
      <c r="G176" s="5"/>
      <c r="I176" s="83"/>
    </row>
    <row r="177" spans="2:9" x14ac:dyDescent="0.45">
      <c r="B177" s="42" t="s">
        <v>33</v>
      </c>
      <c r="C177" s="42">
        <v>8062</v>
      </c>
      <c r="D177" s="42">
        <v>8047</v>
      </c>
      <c r="E177" s="42">
        <v>8032</v>
      </c>
      <c r="F177" s="42"/>
      <c r="G177" s="42"/>
      <c r="H177" s="40" t="s">
        <v>95</v>
      </c>
      <c r="I177" s="83"/>
    </row>
    <row r="178" spans="2:9" x14ac:dyDescent="0.45">
      <c r="B178" s="64" t="s">
        <v>92</v>
      </c>
      <c r="C178" s="64">
        <v>1</v>
      </c>
      <c r="D178" s="64">
        <v>1</v>
      </c>
      <c r="E178" s="64">
        <v>1</v>
      </c>
      <c r="F178" s="64"/>
      <c r="G178" s="64"/>
      <c r="H178" s="40"/>
      <c r="I178" s="83"/>
    </row>
    <row r="179" spans="2:9" x14ac:dyDescent="0.45">
      <c r="B179" s="5" t="s">
        <v>103</v>
      </c>
      <c r="C179" s="5"/>
      <c r="D179" s="5"/>
      <c r="E179" s="5"/>
      <c r="F179" s="5"/>
      <c r="G179" s="5"/>
      <c r="I179" s="83"/>
    </row>
    <row r="180" spans="2:9" x14ac:dyDescent="0.45">
      <c r="B180" s="65" t="s">
        <v>33</v>
      </c>
      <c r="C180" s="65">
        <v>8404</v>
      </c>
      <c r="D180" s="65">
        <v>8403</v>
      </c>
      <c r="E180" s="65">
        <v>8402</v>
      </c>
      <c r="F180" s="53"/>
      <c r="G180" s="53"/>
      <c r="H180" s="6" t="s">
        <v>96</v>
      </c>
      <c r="I180" s="83" t="s">
        <v>88</v>
      </c>
    </row>
    <row r="181" spans="2:9" x14ac:dyDescent="0.45">
      <c r="B181" s="64" t="s">
        <v>93</v>
      </c>
      <c r="C181" s="64">
        <v>0</v>
      </c>
      <c r="D181" s="64">
        <v>0</v>
      </c>
      <c r="E181" s="64">
        <v>0</v>
      </c>
      <c r="F181" s="69"/>
      <c r="G181" s="69"/>
      <c r="I181" s="83"/>
    </row>
    <row r="182" spans="2:9" ht="21" customHeight="1" x14ac:dyDescent="0.45">
      <c r="B182" s="5" t="s">
        <v>104</v>
      </c>
      <c r="C182" s="5"/>
      <c r="D182" s="5"/>
      <c r="E182" s="5"/>
      <c r="F182" s="5" ph="1"/>
      <c r="G182" s="5"/>
      <c r="I182" s="83"/>
    </row>
    <row r="183" spans="2:9" x14ac:dyDescent="0.45">
      <c r="B183" s="65" t="s">
        <v>33</v>
      </c>
      <c r="C183" s="65">
        <v>8062</v>
      </c>
      <c r="D183" s="65">
        <v>8047</v>
      </c>
      <c r="E183" s="65">
        <v>8032</v>
      </c>
      <c r="F183" s="53"/>
      <c r="G183" s="53"/>
      <c r="H183" s="6" t="s">
        <v>167</v>
      </c>
      <c r="I183" s="83"/>
    </row>
    <row r="184" spans="2:9" x14ac:dyDescent="0.45">
      <c r="B184" s="42" t="s">
        <v>93</v>
      </c>
      <c r="C184" s="42">
        <v>0</v>
      </c>
      <c r="D184" s="42">
        <v>0</v>
      </c>
      <c r="E184" s="42">
        <v>0</v>
      </c>
      <c r="F184" s="43"/>
      <c r="G184" s="43"/>
      <c r="I184" s="83"/>
    </row>
    <row r="185" spans="2:9" ht="18.600000000000001" thickBot="1" x14ac:dyDescent="0.5">
      <c r="B185" s="9" t="s">
        <v>31</v>
      </c>
      <c r="C185" s="7"/>
      <c r="D185" s="7"/>
      <c r="E185" s="7"/>
      <c r="F185" s="7"/>
      <c r="G185" s="8"/>
      <c r="H185" s="40"/>
      <c r="I185" s="83"/>
    </row>
    <row r="212" ht="249" customHeight="1" x14ac:dyDescent="0.45"/>
  </sheetData>
  <mergeCells count="9">
    <mergeCell ref="B101:C101"/>
    <mergeCell ref="B131:C131"/>
    <mergeCell ref="B161:C161"/>
    <mergeCell ref="B6:G6"/>
    <mergeCell ref="B2:G3"/>
    <mergeCell ref="C5:G5"/>
    <mergeCell ref="B11:C11"/>
    <mergeCell ref="B41:C41"/>
    <mergeCell ref="B72:C72"/>
  </mergeCells>
  <phoneticPr fontId="1"/>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85DC4-C887-4AF3-BCD1-3446DCE3B983}">
  <dimension ref="A1:L14"/>
  <sheetViews>
    <sheetView workbookViewId="0">
      <selection activeCell="B9" sqref="B9"/>
    </sheetView>
  </sheetViews>
  <sheetFormatPr defaultRowHeight="18" x14ac:dyDescent="0.45"/>
  <cols>
    <col min="2" max="2" width="43.296875" customWidth="1"/>
    <col min="3" max="3" width="14.69921875" customWidth="1"/>
    <col min="4" max="4" width="56" customWidth="1"/>
    <col min="5" max="5" width="33.69921875" customWidth="1"/>
    <col min="6" max="6" width="40.296875" customWidth="1"/>
    <col min="7" max="7" width="41.69921875" customWidth="1"/>
    <col min="9" max="9" width="10.8984375" customWidth="1"/>
  </cols>
  <sheetData>
    <row r="1" spans="1:12" x14ac:dyDescent="0.45">
      <c r="B1" s="76" t="s">
        <v>184</v>
      </c>
    </row>
    <row r="3" spans="1:12" s="57" customFormat="1" x14ac:dyDescent="0.45">
      <c r="A3" s="58" t="s">
        <v>163</v>
      </c>
      <c r="B3" s="58" t="s">
        <v>185</v>
      </c>
      <c r="C3" s="58" t="s">
        <v>155</v>
      </c>
      <c r="D3" s="58" t="s">
        <v>132</v>
      </c>
      <c r="E3" s="58" t="s">
        <v>145</v>
      </c>
      <c r="F3" s="58" t="s">
        <v>131</v>
      </c>
      <c r="G3" s="58" t="s">
        <v>149</v>
      </c>
      <c r="H3" s="58" t="s">
        <v>156</v>
      </c>
      <c r="I3" s="58" t="s">
        <v>158</v>
      </c>
      <c r="J3" s="58" t="s">
        <v>160</v>
      </c>
      <c r="K3" s="58" t="s">
        <v>161</v>
      </c>
      <c r="L3" s="58" t="s">
        <v>162</v>
      </c>
    </row>
    <row r="4" spans="1:12" x14ac:dyDescent="0.45">
      <c r="A4" s="56" t="s">
        <v>134</v>
      </c>
      <c r="B4" s="56" t="s">
        <v>187</v>
      </c>
      <c r="C4" s="56" t="s">
        <v>133</v>
      </c>
      <c r="D4" s="2" t="s">
        <v>183</v>
      </c>
      <c r="E4" s="72"/>
      <c r="F4" s="56" t="s">
        <v>108</v>
      </c>
      <c r="G4" s="56"/>
      <c r="H4" s="56" t="s">
        <v>157</v>
      </c>
      <c r="I4" s="56" t="s">
        <v>159</v>
      </c>
      <c r="J4" s="56" t="s">
        <v>157</v>
      </c>
      <c r="K4" s="56"/>
      <c r="L4" s="56"/>
    </row>
    <row r="5" spans="1:12" x14ac:dyDescent="0.45">
      <c r="A5" s="56" t="s">
        <v>135</v>
      </c>
      <c r="B5" s="56" t="s">
        <v>152</v>
      </c>
      <c r="C5" s="56" t="s">
        <v>133</v>
      </c>
      <c r="D5" s="2" t="s">
        <v>224</v>
      </c>
      <c r="E5" s="75" t="s">
        <v>147</v>
      </c>
      <c r="F5" s="56" t="s">
        <v>147</v>
      </c>
      <c r="G5" s="56"/>
      <c r="H5" s="56"/>
      <c r="I5" s="56"/>
      <c r="J5" s="56"/>
      <c r="K5" s="56"/>
      <c r="L5" s="56"/>
    </row>
    <row r="6" spans="1:12" x14ac:dyDescent="0.45">
      <c r="A6" s="56" t="s">
        <v>136</v>
      </c>
      <c r="B6" s="56" t="s">
        <v>188</v>
      </c>
      <c r="C6" s="56" t="s">
        <v>133</v>
      </c>
      <c r="D6" s="74" t="s">
        <v>190</v>
      </c>
      <c r="E6" s="75" t="s">
        <v>146</v>
      </c>
      <c r="F6" s="56" t="s">
        <v>147</v>
      </c>
      <c r="G6" s="56"/>
      <c r="H6" s="56"/>
      <c r="I6" s="56"/>
      <c r="J6" s="56"/>
      <c r="K6" s="56"/>
      <c r="L6" s="56"/>
    </row>
    <row r="7" spans="1:12" ht="20.399999999999999" customHeight="1" x14ac:dyDescent="0.45">
      <c r="A7" s="56" t="s">
        <v>137</v>
      </c>
      <c r="B7" s="56" t="s">
        <v>189</v>
      </c>
      <c r="C7" s="56" t="s">
        <v>133</v>
      </c>
      <c r="D7" s="74" t="s">
        <v>186</v>
      </c>
      <c r="E7" s="75" t="s">
        <v>191</v>
      </c>
      <c r="F7" s="56"/>
      <c r="G7" s="56"/>
      <c r="H7" s="56"/>
      <c r="I7" s="56"/>
      <c r="J7" s="56"/>
      <c r="K7" s="56"/>
      <c r="L7" s="56"/>
    </row>
    <row r="8" spans="1:12" x14ac:dyDescent="0.45">
      <c r="A8" s="56" t="s">
        <v>138</v>
      </c>
      <c r="B8" s="56" t="s">
        <v>193</v>
      </c>
      <c r="C8" s="56" t="s">
        <v>148</v>
      </c>
      <c r="D8" s="2" t="s">
        <v>192</v>
      </c>
      <c r="E8" s="56" t="s">
        <v>147</v>
      </c>
      <c r="F8" s="73" t="s">
        <v>196</v>
      </c>
      <c r="G8" s="56"/>
      <c r="H8" s="56"/>
      <c r="I8" s="56"/>
      <c r="J8" s="56"/>
      <c r="K8" s="56"/>
      <c r="L8" s="56"/>
    </row>
    <row r="9" spans="1:12" ht="72" x14ac:dyDescent="0.45">
      <c r="A9" s="56" t="s">
        <v>139</v>
      </c>
      <c r="B9" s="56" t="s">
        <v>150</v>
      </c>
      <c r="C9" s="56" t="s">
        <v>148</v>
      </c>
      <c r="D9" s="56" t="s">
        <v>194</v>
      </c>
      <c r="E9" s="77"/>
      <c r="F9" s="73" t="s">
        <v>151</v>
      </c>
      <c r="G9" s="56"/>
      <c r="H9" s="56"/>
      <c r="I9" s="56"/>
      <c r="J9" s="56"/>
      <c r="K9" s="56"/>
      <c r="L9" s="56"/>
    </row>
    <row r="10" spans="1:12" x14ac:dyDescent="0.45">
      <c r="A10" s="56" t="s">
        <v>140</v>
      </c>
      <c r="B10" s="56" t="s">
        <v>144</v>
      </c>
      <c r="C10" s="56" t="s">
        <v>148</v>
      </c>
      <c r="D10" s="56" t="s">
        <v>195</v>
      </c>
      <c r="E10" s="78"/>
      <c r="F10" s="56" t="s">
        <v>196</v>
      </c>
      <c r="G10" s="56"/>
      <c r="H10" s="56"/>
      <c r="I10" s="56"/>
      <c r="J10" s="56"/>
      <c r="K10" s="56"/>
      <c r="L10" s="56"/>
    </row>
    <row r="11" spans="1:12" x14ac:dyDescent="0.45">
      <c r="A11" s="56" t="s">
        <v>141</v>
      </c>
      <c r="B11" s="56" t="s">
        <v>106</v>
      </c>
      <c r="C11" s="56" t="s">
        <v>148</v>
      </c>
      <c r="D11" s="56" t="s">
        <v>198</v>
      </c>
      <c r="E11" s="56"/>
      <c r="F11" s="56" t="s">
        <v>196</v>
      </c>
      <c r="G11" s="56"/>
      <c r="H11" s="56"/>
      <c r="I11" s="56"/>
      <c r="J11" s="56"/>
      <c r="K11" s="56"/>
      <c r="L11" s="56"/>
    </row>
    <row r="12" spans="1:12" x14ac:dyDescent="0.45">
      <c r="A12" s="56" t="s">
        <v>142</v>
      </c>
      <c r="B12" s="56" t="s">
        <v>105</v>
      </c>
      <c r="C12" s="56" t="s">
        <v>148</v>
      </c>
      <c r="D12" s="56" t="s">
        <v>197</v>
      </c>
      <c r="E12" s="56"/>
      <c r="F12" s="56" t="s">
        <v>196</v>
      </c>
      <c r="G12" s="56"/>
      <c r="H12" s="56"/>
      <c r="I12" s="56"/>
      <c r="J12" s="56"/>
      <c r="K12" s="56"/>
      <c r="L12" s="56"/>
    </row>
    <row r="13" spans="1:12" x14ac:dyDescent="0.45">
      <c r="A13" s="56" t="s">
        <v>143</v>
      </c>
      <c r="B13" s="56" t="s">
        <v>202</v>
      </c>
      <c r="C13" s="56" t="s">
        <v>133</v>
      </c>
      <c r="D13" s="56" t="s">
        <v>199</v>
      </c>
      <c r="E13" s="56" t="s">
        <v>147</v>
      </c>
      <c r="F13" s="56" t="s">
        <v>147</v>
      </c>
      <c r="G13" s="56"/>
      <c r="H13" s="56"/>
      <c r="I13" s="56"/>
      <c r="J13" s="56"/>
      <c r="K13" s="56"/>
      <c r="L13" s="56"/>
    </row>
    <row r="14" spans="1:12" ht="20.399999999999999" x14ac:dyDescent="0.45">
      <c r="A14" s="84" t="s">
        <v>225</v>
      </c>
      <c r="B14" s="56" t="s">
        <v>201</v>
      </c>
      <c r="C14" s="56" t="s">
        <v>133</v>
      </c>
      <c r="D14" s="56" t="s">
        <v>200</v>
      </c>
      <c r="E14" s="56" t="s">
        <v>147</v>
      </c>
      <c r="F14" s="56" t="s">
        <v>147</v>
      </c>
      <c r="G14" s="56"/>
      <c r="H14" s="56"/>
      <c r="I14" s="56"/>
      <c r="J14" s="56"/>
      <c r="K14" s="56"/>
      <c r="L14" s="56"/>
    </row>
  </sheetData>
  <phoneticPr fontId="1"/>
  <hyperlinks>
    <hyperlink ref="D6" r:id="rId1" display="http://localhost:5000/depallet" xr:uid="{6A5B79DB-F58B-4041-A336-3F9080C50D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残課題修正</vt:lpstr>
      <vt:lpstr>進捗</vt:lpstr>
      <vt:lpstr>基本設計書</vt:lpstr>
      <vt:lpstr>デパレ運用トライ</vt:lpstr>
      <vt:lpstr>API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Lynn Htet Aung</cp:lastModifiedBy>
  <cp:revision/>
  <dcterms:created xsi:type="dcterms:W3CDTF">2025-11-18T00:03:59Z</dcterms:created>
  <dcterms:modified xsi:type="dcterms:W3CDTF">2025-12-10T04:17:14Z</dcterms:modified>
  <cp:category/>
  <cp:contentStatus/>
</cp:coreProperties>
</file>